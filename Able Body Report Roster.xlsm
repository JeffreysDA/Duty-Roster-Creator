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canet\home\19yh8fx2\My Documents\Excel\Duty Roster Creator\"/>
    </mc:Choice>
  </mc:AlternateContent>
  <workbookProtection workbookAlgorithmName="SHA-512" workbookHashValue="9SRgD11oFP0IC24wNGUM8M42j0vNlEM4Kb7u3OKZ/tNYH4rALT82ceX8PykQ+Qbj8uUo1GSiFtZzX9YhDFIXUw==" workbookSaltValue="3JknJAU6/tQ5LDxfHHdZIw==" workbookSpinCount="100000" lockStructure="1"/>
  <bookViews>
    <workbookView xWindow="-120" yWindow="-120" windowWidth="20730" windowHeight="11160"/>
  </bookViews>
  <sheets>
    <sheet name="Welcome" sheetId="8" r:id="rId1"/>
    <sheet name="Summary" sheetId="6" state="veryHidden" r:id="rId2"/>
    <sheet name="Available Bodies" sheetId="4" state="veryHidden" r:id="rId3"/>
    <sheet name="Medical" sheetId="9" state="veryHidden" r:id="rId4"/>
    <sheet name="Unavailable" sheetId="10" state="veryHidden" r:id="rId5"/>
    <sheet name="DevMode" sheetId="11" state="veryHidden" r:id="rId6"/>
  </sheets>
  <functionGroups builtInGroupCount="18"/>
  <definedNames>
    <definedName name="_xlnm._FilterDatabase" localSheetId="2" hidden="1">'Available Bodies'!$A$1:$K$1541</definedName>
    <definedName name="_xlnm._FilterDatabase" localSheetId="3" hidden="1">Medical!$A$1:$F$1</definedName>
    <definedName name="_xlnm._FilterDatabase" localSheetId="4" hidden="1">Unavailable!$A$1:$E$1</definedName>
    <definedName name="DP_ResCount" comment="List of Duty Positions. Needed to accuratly calculate how many Duty Slots each company is responsible for.">DevMode!$D$2:$D$10</definedName>
    <definedName name="End" comment="End of Month">Summary!$B$3</definedName>
    <definedName name="RankList_DP1" comment="List of ranks that can stand the first Duty Position.">DevMode!$A$28:$A$53</definedName>
    <definedName name="RankList_DP2" comment="List of ranks that can stand the second Duty Position.">DevMode!$B$28:$B$53</definedName>
    <definedName name="RankList_DP3" comment="List of ranks that can stand the third Duty Position.">DevMode!$C$28:$C$53</definedName>
    <definedName name="RankList_DP4" comment="List of ranks that can stand the fourth Duty Position.">DevMode!$D$28:$D$53</definedName>
    <definedName name="RankList_DP5" comment="List of ranks that can stand the fifth Duty Position.">DevMode!$E$28:$E$53</definedName>
    <definedName name="RankList_DP6" comment="List of ranks that can stand the sixth Duty Position.">DevMode!$F$28:$F$53</definedName>
    <definedName name="RankList_DP7" comment="List of ranks that can stand the seventh Duty Position.">DevMode!$G$28:$G$53</definedName>
    <definedName name="RankList_DP8" comment="List of ranks that can stand the eighth Duty Position.">DevMode!$H$28:$H$53</definedName>
    <definedName name="RankList_DP9" comment="List of ranks that can stand the nineth Duty Position.">DevMode!$I$28:$I$53</definedName>
    <definedName name="Start">Summary!$A$3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8" i="6" l="1"/>
  <c r="T8" i="6"/>
  <c r="X8" i="6"/>
  <c r="G9" i="6"/>
  <c r="O9" i="6"/>
  <c r="S9" i="6"/>
  <c r="W9" i="6"/>
  <c r="AA9" i="6"/>
  <c r="M10" i="6"/>
  <c r="Q10" i="6"/>
  <c r="U10" i="6"/>
  <c r="Y10" i="6"/>
  <c r="O12" i="6"/>
  <c r="S12" i="6"/>
  <c r="W12" i="6"/>
  <c r="AA12" i="6"/>
  <c r="E11" i="11"/>
  <c r="AH7" i="6" s="1"/>
  <c r="Z6" i="6"/>
  <c r="Z8" i="6" s="1"/>
  <c r="Y6" i="6"/>
  <c r="Y8" i="6" s="1"/>
  <c r="X6" i="6"/>
  <c r="X9" i="6" s="1"/>
  <c r="W6" i="6"/>
  <c r="W10" i="6" s="1"/>
  <c r="V6" i="6"/>
  <c r="V10" i="6" s="1"/>
  <c r="U6" i="6"/>
  <c r="U8" i="6" s="1"/>
  <c r="T6" i="6"/>
  <c r="T9" i="6" s="1"/>
  <c r="S6" i="6"/>
  <c r="S10" i="6" s="1"/>
  <c r="R6" i="6"/>
  <c r="R10" i="6" s="1"/>
  <c r="Q6" i="6"/>
  <c r="Q8" i="6" s="1"/>
  <c r="P6" i="6"/>
  <c r="P9" i="6" s="1"/>
  <c r="O6" i="6"/>
  <c r="O10" i="6" s="1"/>
  <c r="N6" i="6"/>
  <c r="N10" i="6" s="1"/>
  <c r="M6" i="6"/>
  <c r="M8" i="6" s="1"/>
  <c r="L6" i="6"/>
  <c r="L8" i="6" s="1"/>
  <c r="K6" i="6"/>
  <c r="K8" i="6" s="1"/>
  <c r="J6" i="6"/>
  <c r="J8" i="6" s="1"/>
  <c r="I6" i="6"/>
  <c r="I8" i="6" s="1"/>
  <c r="H6" i="6"/>
  <c r="H8" i="6" s="1"/>
  <c r="G6" i="6"/>
  <c r="G8" i="6" s="1"/>
  <c r="F6" i="6"/>
  <c r="F8" i="6" s="1"/>
  <c r="E6" i="6"/>
  <c r="E8" i="6" s="1"/>
  <c r="D6" i="6"/>
  <c r="D8" i="6" s="1"/>
  <c r="C6" i="6"/>
  <c r="C8" i="6" s="1"/>
  <c r="B6" i="6"/>
  <c r="B10" i="6" s="1"/>
  <c r="AA6" i="6"/>
  <c r="AA10" i="6" s="1"/>
  <c r="R35" i="6"/>
  <c r="R34" i="6"/>
  <c r="R33" i="6"/>
  <c r="R32" i="6"/>
  <c r="R29" i="6"/>
  <c r="P35" i="6"/>
  <c r="P34" i="6"/>
  <c r="P33" i="6"/>
  <c r="P32" i="6"/>
  <c r="P29" i="6"/>
  <c r="N35" i="6"/>
  <c r="N34" i="6"/>
  <c r="N33" i="6"/>
  <c r="N32" i="6"/>
  <c r="N29" i="6"/>
  <c r="L32" i="6"/>
  <c r="L31" i="6"/>
  <c r="L30" i="6"/>
  <c r="J32" i="6"/>
  <c r="J31" i="6"/>
  <c r="J30" i="6"/>
  <c r="H32" i="6"/>
  <c r="H31" i="6"/>
  <c r="H30" i="6"/>
  <c r="I27" i="11"/>
  <c r="H27" i="11"/>
  <c r="G27" i="11"/>
  <c r="F27" i="11"/>
  <c r="E27" i="11"/>
  <c r="D27" i="11"/>
  <c r="C27" i="11"/>
  <c r="B27" i="11"/>
  <c r="A27" i="11"/>
  <c r="H15" i="11"/>
  <c r="G15" i="11"/>
  <c r="F15" i="11"/>
  <c r="E15" i="11"/>
  <c r="D15" i="11"/>
  <c r="C15" i="11"/>
  <c r="B15" i="11"/>
  <c r="A17" i="11"/>
  <c r="A18" i="11"/>
  <c r="A19" i="11"/>
  <c r="A20" i="11"/>
  <c r="A21" i="11"/>
  <c r="A22" i="11"/>
  <c r="A23" i="11"/>
  <c r="A24" i="11"/>
  <c r="A16" i="11"/>
  <c r="J12" i="6" l="1"/>
  <c r="Z12" i="6"/>
  <c r="V12" i="6"/>
  <c r="R12" i="6"/>
  <c r="N12" i="6"/>
  <c r="G12" i="6"/>
  <c r="X10" i="6"/>
  <c r="T10" i="6"/>
  <c r="P10" i="6"/>
  <c r="K10" i="6"/>
  <c r="Z9" i="6"/>
  <c r="V9" i="6"/>
  <c r="R9" i="6"/>
  <c r="N9" i="6"/>
  <c r="E9" i="6"/>
  <c r="W8" i="6"/>
  <c r="S8" i="6"/>
  <c r="O8" i="6"/>
  <c r="B8" i="6"/>
  <c r="Y12" i="6"/>
  <c r="U12" i="6"/>
  <c r="Q12" i="6"/>
  <c r="M12" i="6"/>
  <c r="E12" i="6"/>
  <c r="J10" i="6"/>
  <c r="Y9" i="6"/>
  <c r="U9" i="6"/>
  <c r="Q9" i="6"/>
  <c r="M9" i="6"/>
  <c r="AA8" i="6"/>
  <c r="V8" i="6"/>
  <c r="R8" i="6"/>
  <c r="N8" i="6"/>
  <c r="B12" i="6"/>
  <c r="X12" i="6"/>
  <c r="T12" i="6"/>
  <c r="P12" i="6"/>
  <c r="K12" i="6"/>
  <c r="E10" i="6"/>
  <c r="K9" i="6"/>
  <c r="Z10" i="6"/>
  <c r="L9" i="6"/>
  <c r="L12" i="6"/>
  <c r="L10" i="6"/>
  <c r="J9" i="6"/>
  <c r="I12" i="6"/>
  <c r="I10" i="6"/>
  <c r="I9" i="6"/>
  <c r="H10" i="6"/>
  <c r="H9" i="6"/>
  <c r="H12" i="6"/>
  <c r="G10" i="6"/>
  <c r="F9" i="6"/>
  <c r="F10" i="6"/>
  <c r="F12" i="6"/>
  <c r="C12" i="6"/>
  <c r="D12" i="6"/>
  <c r="D10" i="6"/>
  <c r="D9" i="6"/>
  <c r="C10" i="6"/>
  <c r="C9" i="6"/>
  <c r="B9" i="6"/>
  <c r="AH8" i="6"/>
  <c r="R28" i="6" l="1"/>
  <c r="P28" i="6"/>
  <c r="N28" i="6"/>
  <c r="L28" i="6"/>
  <c r="J28" i="6"/>
  <c r="H28" i="6"/>
  <c r="F28" i="6"/>
  <c r="D28" i="6"/>
  <c r="B28" i="6"/>
  <c r="R18" i="6"/>
  <c r="P18" i="6"/>
  <c r="N18" i="6"/>
  <c r="L18" i="6"/>
  <c r="J18" i="6"/>
  <c r="H18" i="6"/>
  <c r="F18" i="6"/>
  <c r="D18" i="6"/>
  <c r="B18" i="6"/>
  <c r="AK10" i="6"/>
  <c r="AK9" i="6"/>
  <c r="AK8" i="6"/>
  <c r="AK7" i="6"/>
  <c r="AK6" i="6"/>
  <c r="AK5" i="6"/>
  <c r="AK4" i="6"/>
  <c r="AD18" i="6"/>
  <c r="AD17" i="6"/>
  <c r="AD16" i="6"/>
  <c r="AD15" i="6"/>
  <c r="AD14" i="6"/>
  <c r="AD13" i="6"/>
  <c r="AD12" i="6"/>
  <c r="A35" i="6"/>
  <c r="A34" i="6"/>
  <c r="A33" i="6"/>
  <c r="A32" i="6"/>
  <c r="A31" i="6"/>
  <c r="A30" i="6"/>
  <c r="A29" i="6"/>
  <c r="A25" i="6"/>
  <c r="A24" i="6"/>
  <c r="A23" i="6"/>
  <c r="A22" i="6"/>
  <c r="A21" i="6"/>
  <c r="A20" i="6"/>
  <c r="A13" i="6"/>
  <c r="A12" i="6"/>
  <c r="A11" i="6"/>
  <c r="A10" i="6"/>
  <c r="A9" i="6"/>
  <c r="A8" i="6"/>
  <c r="A7" i="6"/>
  <c r="A19" i="6"/>
  <c r="AF16" i="6"/>
  <c r="AF18" i="6"/>
  <c r="AF12" i="6"/>
  <c r="AF13" i="6"/>
  <c r="AF14" i="6"/>
  <c r="AF17" i="6"/>
  <c r="AF15" i="6"/>
  <c r="D11" i="6" l="1"/>
  <c r="H11" i="6"/>
  <c r="L11" i="6"/>
  <c r="P11" i="6"/>
  <c r="T11" i="6"/>
  <c r="X11" i="6"/>
  <c r="E11" i="6"/>
  <c r="I11" i="6"/>
  <c r="M11" i="6"/>
  <c r="Q11" i="6"/>
  <c r="U11" i="6"/>
  <c r="Y11" i="6"/>
  <c r="G11" i="6"/>
  <c r="K11" i="6"/>
  <c r="O11" i="6"/>
  <c r="S11" i="6"/>
  <c r="W11" i="6"/>
  <c r="AA11" i="6"/>
  <c r="C11" i="6"/>
  <c r="F11" i="6"/>
  <c r="J11" i="6"/>
  <c r="N11" i="6"/>
  <c r="R11" i="6"/>
  <c r="V11" i="6"/>
  <c r="Z11" i="6"/>
  <c r="B11" i="6"/>
  <c r="D7" i="6"/>
  <c r="H7" i="6"/>
  <c r="L7" i="6"/>
  <c r="P7" i="6"/>
  <c r="T7" i="6"/>
  <c r="X7" i="6"/>
  <c r="C7" i="6"/>
  <c r="G7" i="6"/>
  <c r="O7" i="6"/>
  <c r="S7" i="6"/>
  <c r="AA7" i="6"/>
  <c r="B7" i="6"/>
  <c r="E7" i="6"/>
  <c r="I7" i="6"/>
  <c r="M7" i="6"/>
  <c r="Q7" i="6"/>
  <c r="U7" i="6"/>
  <c r="Y7" i="6"/>
  <c r="K7" i="6"/>
  <c r="W7" i="6"/>
  <c r="F7" i="6"/>
  <c r="J7" i="6"/>
  <c r="N7" i="6"/>
  <c r="R7" i="6"/>
  <c r="V7" i="6"/>
  <c r="Z7" i="6"/>
  <c r="D13" i="6"/>
  <c r="H13" i="6"/>
  <c r="L13" i="6"/>
  <c r="P13" i="6"/>
  <c r="T13" i="6"/>
  <c r="X13" i="6"/>
  <c r="E13" i="6"/>
  <c r="I13" i="6"/>
  <c r="M13" i="6"/>
  <c r="Q13" i="6"/>
  <c r="U13" i="6"/>
  <c r="Y13" i="6"/>
  <c r="F13" i="6"/>
  <c r="J13" i="6"/>
  <c r="N13" i="6"/>
  <c r="R13" i="6"/>
  <c r="V13" i="6"/>
  <c r="Z13" i="6"/>
  <c r="C13" i="6"/>
  <c r="G13" i="6"/>
  <c r="K13" i="6"/>
  <c r="O13" i="6"/>
  <c r="S13" i="6"/>
  <c r="W13" i="6"/>
  <c r="AA13" i="6"/>
  <c r="B13" i="6"/>
  <c r="N30" i="6"/>
  <c r="A3" i="6"/>
  <c r="E2" i="6" s="1"/>
  <c r="B29" i="6" l="1"/>
  <c r="H33" i="6"/>
  <c r="R31" i="6"/>
  <c r="F31" i="6"/>
  <c r="P31" i="6"/>
  <c r="D31" i="6"/>
  <c r="N31" i="6"/>
  <c r="H35" i="6"/>
  <c r="B33" i="6"/>
  <c r="D33" i="6"/>
  <c r="J33" i="6"/>
  <c r="L33" i="6"/>
  <c r="F33" i="6"/>
  <c r="D32" i="6"/>
  <c r="F32" i="6"/>
  <c r="D34" i="6"/>
  <c r="L34" i="6"/>
  <c r="J34" i="6"/>
  <c r="F34" i="6"/>
  <c r="H34" i="6"/>
  <c r="H29" i="6"/>
  <c r="J29" i="6"/>
  <c r="F29" i="6"/>
  <c r="D29" i="6"/>
  <c r="L29" i="6"/>
  <c r="B31" i="6"/>
  <c r="J35" i="6"/>
  <c r="J25" i="6" s="1"/>
  <c r="F35" i="6"/>
  <c r="L35" i="6"/>
  <c r="D35" i="6"/>
  <c r="B30" i="6"/>
  <c r="B35" i="6"/>
  <c r="B32" i="6"/>
  <c r="P30" i="6"/>
  <c r="D30" i="6"/>
  <c r="R30" i="6"/>
  <c r="F30" i="6"/>
  <c r="B34" i="6"/>
  <c r="B3" i="6"/>
  <c r="H2" i="6" s="1"/>
  <c r="F14" i="6"/>
  <c r="J14" i="6" l="1"/>
  <c r="R14" i="6"/>
  <c r="N14" i="6"/>
  <c r="Y14" i="6"/>
  <c r="U14" i="6"/>
  <c r="Q14" i="6"/>
  <c r="M14" i="6"/>
  <c r="I14" i="6"/>
  <c r="H14" i="6"/>
  <c r="M37" i="6"/>
  <c r="E37" i="6"/>
  <c r="S37" i="6"/>
  <c r="K37" i="6"/>
  <c r="C37" i="6"/>
  <c r="Q37" i="6"/>
  <c r="I37" i="6"/>
  <c r="O37" i="6"/>
  <c r="G37" i="6"/>
  <c r="N24" i="6"/>
  <c r="L21" i="6"/>
  <c r="J21" i="6"/>
  <c r="AB10" i="6"/>
  <c r="J22" i="6"/>
  <c r="P22" i="6"/>
  <c r="L22" i="6"/>
  <c r="R22" i="6"/>
  <c r="N22" i="6"/>
  <c r="H22" i="6"/>
  <c r="L20" i="6"/>
  <c r="J20" i="6"/>
  <c r="AB11" i="6"/>
  <c r="R23" i="6"/>
  <c r="P23" i="6"/>
  <c r="N23" i="6"/>
  <c r="AB13" i="6"/>
  <c r="R25" i="6"/>
  <c r="P25" i="6"/>
  <c r="E14" i="6"/>
  <c r="H20" i="6"/>
  <c r="AB12" i="6"/>
  <c r="R24" i="6"/>
  <c r="P24" i="6"/>
  <c r="H21" i="6"/>
  <c r="N25" i="6"/>
  <c r="S14" i="6"/>
  <c r="O14" i="6"/>
  <c r="K14" i="6"/>
  <c r="G14" i="6"/>
  <c r="C14" i="6"/>
  <c r="L14" i="6"/>
  <c r="D14" i="6"/>
  <c r="P14" i="6"/>
  <c r="AB9" i="6"/>
  <c r="V14" i="6"/>
  <c r="N20" i="6"/>
  <c r="AB8" i="6"/>
  <c r="X14" i="6"/>
  <c r="T14" i="6"/>
  <c r="AA14" i="6"/>
  <c r="W14" i="6"/>
  <c r="Z14" i="6"/>
  <c r="B23" i="6"/>
  <c r="H25" i="6"/>
  <c r="B14" i="6"/>
  <c r="B25" i="6"/>
  <c r="B22" i="6"/>
  <c r="D24" i="6"/>
  <c r="D20" i="6"/>
  <c r="F22" i="6"/>
  <c r="H24" i="6"/>
  <c r="L24" i="6"/>
  <c r="P20" i="6"/>
  <c r="D23" i="6"/>
  <c r="F25" i="6"/>
  <c r="F21" i="6"/>
  <c r="H23" i="6"/>
  <c r="L23" i="6"/>
  <c r="N21" i="6"/>
  <c r="R21" i="6"/>
  <c r="B20" i="6"/>
  <c r="D22" i="6"/>
  <c r="F24" i="6"/>
  <c r="F20" i="6"/>
  <c r="J24" i="6"/>
  <c r="R20" i="6"/>
  <c r="B21" i="6"/>
  <c r="D25" i="6"/>
  <c r="D21" i="6"/>
  <c r="F23" i="6"/>
  <c r="J23" i="6"/>
  <c r="L25" i="6"/>
  <c r="P21" i="6"/>
  <c r="AB7" i="6"/>
  <c r="D37" i="6"/>
  <c r="F37" i="6"/>
  <c r="N37" i="6"/>
  <c r="AJ5" i="6" l="1"/>
  <c r="AJ9" i="6"/>
  <c r="AJ10" i="6"/>
  <c r="AJ8" i="6"/>
  <c r="AJ7" i="6"/>
  <c r="AJ6" i="6"/>
  <c r="N19" i="6"/>
  <c r="P19" i="6"/>
  <c r="B19" i="6"/>
  <c r="D19" i="6"/>
  <c r="H19" i="6"/>
  <c r="L19" i="6"/>
  <c r="B24" i="6"/>
  <c r="R19" i="6"/>
  <c r="J19" i="6"/>
  <c r="F19" i="6"/>
  <c r="N36" i="6"/>
  <c r="N38" i="6" s="1"/>
  <c r="P36" i="6"/>
  <c r="P38" i="6" s="1"/>
  <c r="L36" i="6"/>
  <c r="L38" i="6" s="1"/>
  <c r="M35" i="6" s="1"/>
  <c r="B36" i="6"/>
  <c r="B38" i="6" s="1"/>
  <c r="C35" i="6" s="1"/>
  <c r="D36" i="6"/>
  <c r="D38" i="6" s="1"/>
  <c r="E35" i="6" s="1"/>
  <c r="H36" i="6"/>
  <c r="H38" i="6" s="1"/>
  <c r="I35" i="6" s="1"/>
  <c r="R36" i="6"/>
  <c r="R38" i="6" s="1"/>
  <c r="J36" i="6"/>
  <c r="J38" i="6" s="1"/>
  <c r="K35" i="6" s="1"/>
  <c r="F36" i="6"/>
  <c r="F38" i="6" s="1"/>
  <c r="G34" i="6" s="1"/>
  <c r="AH6" i="6"/>
  <c r="AJ4" i="6"/>
  <c r="AB14" i="6"/>
  <c r="L37" i="6"/>
  <c r="B37" i="6"/>
  <c r="J37" i="6"/>
  <c r="P37" i="6"/>
  <c r="R37" i="6"/>
  <c r="H37" i="6"/>
  <c r="M33" i="6" l="1"/>
  <c r="M34" i="6"/>
  <c r="M31" i="6"/>
  <c r="M32" i="6"/>
  <c r="M29" i="6"/>
  <c r="M30" i="6"/>
  <c r="K33" i="6"/>
  <c r="K34" i="6"/>
  <c r="K31" i="6"/>
  <c r="K32" i="6"/>
  <c r="K29" i="6"/>
  <c r="K30" i="6"/>
  <c r="I33" i="6"/>
  <c r="I34" i="6"/>
  <c r="I31" i="6"/>
  <c r="I32" i="6"/>
  <c r="I29" i="6"/>
  <c r="I30" i="6"/>
  <c r="G32" i="6"/>
  <c r="G33" i="6"/>
  <c r="G30" i="6"/>
  <c r="G31" i="6"/>
  <c r="G35" i="6"/>
  <c r="G29" i="6"/>
  <c r="E33" i="6"/>
  <c r="E34" i="6"/>
  <c r="E31" i="6"/>
  <c r="E32" i="6"/>
  <c r="E29" i="6"/>
  <c r="E30" i="6"/>
  <c r="C33" i="6"/>
  <c r="C34" i="6"/>
  <c r="C31" i="6"/>
  <c r="C32" i="6"/>
  <c r="C29" i="6"/>
  <c r="C30" i="6"/>
  <c r="AH9" i="6"/>
  <c r="S29" i="6"/>
  <c r="R26" i="6"/>
  <c r="B26" i="6"/>
  <c r="O30" i="6"/>
  <c r="N26" i="6"/>
  <c r="F26" i="6"/>
  <c r="H26" i="6"/>
  <c r="L26" i="6"/>
  <c r="J26" i="6"/>
  <c r="D26" i="6"/>
  <c r="Q35" i="6"/>
  <c r="P26" i="6"/>
  <c r="O35" i="6" l="1"/>
  <c r="O29" i="6"/>
  <c r="O33" i="6"/>
  <c r="S33" i="6"/>
  <c r="S34" i="6"/>
  <c r="S31" i="6"/>
  <c r="Q30" i="6"/>
  <c r="Q31" i="6"/>
  <c r="Q32" i="6"/>
  <c r="Q33" i="6"/>
  <c r="S30" i="6"/>
  <c r="S35" i="6"/>
  <c r="Q34" i="6"/>
  <c r="O32" i="6"/>
  <c r="O31" i="6"/>
  <c r="S32" i="6"/>
  <c r="Q29" i="6"/>
  <c r="O34" i="6"/>
  <c r="I36" i="6" l="1"/>
  <c r="K36" i="6"/>
  <c r="Q36" i="6"/>
  <c r="Q22" i="6" s="1"/>
  <c r="S36" i="6"/>
  <c r="S19" i="6" s="1"/>
  <c r="O36" i="6"/>
  <c r="O25" i="6" s="1"/>
  <c r="C36" i="6"/>
  <c r="M36" i="6"/>
  <c r="G36" i="6"/>
  <c r="E36" i="6"/>
  <c r="C25" i="6" l="1"/>
  <c r="C23" i="6"/>
  <c r="C24" i="6"/>
  <c r="C21" i="6"/>
  <c r="C22" i="6"/>
  <c r="C20" i="6"/>
  <c r="K22" i="6"/>
  <c r="K20" i="6"/>
  <c r="K23" i="6"/>
  <c r="K21" i="6"/>
  <c r="K24" i="6"/>
  <c r="O22" i="6"/>
  <c r="S20" i="6"/>
  <c r="E24" i="6"/>
  <c r="E22" i="6"/>
  <c r="E23" i="6"/>
  <c r="E20" i="6"/>
  <c r="E21" i="6"/>
  <c r="O19" i="6"/>
  <c r="O20" i="6"/>
  <c r="I23" i="6"/>
  <c r="I21" i="6"/>
  <c r="I20" i="6"/>
  <c r="I24" i="6"/>
  <c r="I22" i="6"/>
  <c r="O24" i="6"/>
  <c r="S23" i="6"/>
  <c r="S24" i="6"/>
  <c r="O23" i="6"/>
  <c r="S25" i="6"/>
  <c r="G24" i="6"/>
  <c r="G21" i="6"/>
  <c r="G23" i="6"/>
  <c r="G22" i="6"/>
  <c r="G20" i="6"/>
  <c r="M21" i="6"/>
  <c r="M20" i="6"/>
  <c r="M24" i="6"/>
  <c r="M23" i="6"/>
  <c r="M22" i="6"/>
  <c r="Q19" i="6"/>
  <c r="Q25" i="6"/>
  <c r="Q23" i="6"/>
  <c r="Q20" i="6"/>
  <c r="S22" i="6"/>
  <c r="Q24" i="6"/>
  <c r="E19" i="6"/>
  <c r="E25" i="6"/>
  <c r="G19" i="6"/>
  <c r="G25" i="6"/>
  <c r="M19" i="6"/>
  <c r="M25" i="6"/>
  <c r="Q21" i="6"/>
  <c r="K19" i="6"/>
  <c r="K25" i="6"/>
  <c r="S21" i="6"/>
  <c r="I19" i="6"/>
  <c r="I25" i="6"/>
  <c r="O21" i="6"/>
  <c r="C19" i="6"/>
  <c r="T23" i="6" l="1"/>
  <c r="AE16" i="6" s="1"/>
  <c r="T22" i="6"/>
  <c r="Q26" i="6"/>
  <c r="K26" i="6"/>
  <c r="T20" i="6"/>
  <c r="T19" i="6"/>
  <c r="M26" i="6"/>
  <c r="G26" i="6"/>
  <c r="T24" i="6"/>
  <c r="AE17" i="6" s="1"/>
  <c r="T25" i="6"/>
  <c r="T21" i="6"/>
  <c r="O26" i="6"/>
  <c r="I26" i="6"/>
  <c r="E26" i="6"/>
  <c r="S26" i="6"/>
  <c r="C26" i="6"/>
  <c r="AG16" i="6" l="1"/>
  <c r="AG15" i="6"/>
  <c r="AE15" i="6"/>
  <c r="AE13" i="6"/>
  <c r="AG13" i="6"/>
  <c r="AG17" i="6"/>
  <c r="AG18" i="6"/>
  <c r="AE18" i="6"/>
  <c r="AG14" i="6"/>
  <c r="AE14" i="6"/>
  <c r="AG12" i="6"/>
  <c r="AE12" i="6"/>
  <c r="T26" i="6"/>
</calcChain>
</file>

<file path=xl/comments1.xml><?xml version="1.0" encoding="utf-8"?>
<comments xmlns="http://schemas.openxmlformats.org/spreadsheetml/2006/main">
  <authors>
    <author>Jeffreys, Duncan</author>
  </authors>
  <commentList>
    <comment ref="AE1" authorId="0" shapeId="0">
      <text>
        <r>
          <rPr>
            <b/>
            <sz val="9"/>
            <color indexed="81"/>
            <rFont val="Tahoma"/>
            <family val="2"/>
          </rPr>
          <t>Jeffreys, Duncan:</t>
        </r>
        <r>
          <rPr>
            <sz val="9"/>
            <color indexed="81"/>
            <rFont val="Tahoma"/>
            <family val="2"/>
          </rPr>
          <t xml:space="preserve">
Website:
https://github.com/JeffreysDA
Contact:
jeffreysda@gmail.com</t>
        </r>
      </text>
    </comment>
  </commentList>
</comments>
</file>

<file path=xl/sharedStrings.xml><?xml version="1.0" encoding="utf-8"?>
<sst xmlns="http://schemas.openxmlformats.org/spreadsheetml/2006/main" count="180" uniqueCount="122">
  <si>
    <t>Rank</t>
  </si>
  <si>
    <t>EDIPI</t>
  </si>
  <si>
    <t>Category</t>
  </si>
  <si>
    <t>Duty Status</t>
  </si>
  <si>
    <t>PFC</t>
  </si>
  <si>
    <t>CWO3</t>
  </si>
  <si>
    <t>CWO2</t>
  </si>
  <si>
    <t>Pvt</t>
  </si>
  <si>
    <t>LCpl</t>
  </si>
  <si>
    <t>Cpl</t>
  </si>
  <si>
    <t>Sgt</t>
  </si>
  <si>
    <t>SSgt</t>
  </si>
  <si>
    <t>GySgt</t>
  </si>
  <si>
    <t>MSgt</t>
  </si>
  <si>
    <t>MGySgt</t>
  </si>
  <si>
    <t>SgtMaj</t>
  </si>
  <si>
    <t>WO1</t>
  </si>
  <si>
    <t>CWO4</t>
  </si>
  <si>
    <t>CWO5</t>
  </si>
  <si>
    <t>2ndLt</t>
  </si>
  <si>
    <t>1stLt</t>
  </si>
  <si>
    <t>Capt</t>
  </si>
  <si>
    <t>Maj</t>
  </si>
  <si>
    <t>LtCol</t>
  </si>
  <si>
    <t>Col</t>
  </si>
  <si>
    <t>LtGen</t>
  </si>
  <si>
    <t>Gen</t>
  </si>
  <si>
    <t>1stSgt</t>
  </si>
  <si>
    <t>TOTAL</t>
  </si>
  <si>
    <t>Month</t>
  </si>
  <si>
    <t>Year</t>
  </si>
  <si>
    <t>Alpha</t>
  </si>
  <si>
    <t>Charlie</t>
  </si>
  <si>
    <t>Delta</t>
  </si>
  <si>
    <t>GS</t>
  </si>
  <si>
    <t>SVC</t>
  </si>
  <si>
    <t>OOD</t>
  </si>
  <si>
    <t>AOOD</t>
  </si>
  <si>
    <t>Duty Driver</t>
  </si>
  <si>
    <t>DNCO (FC-370)</t>
  </si>
  <si>
    <t>ADNCO (FC-370)</t>
  </si>
  <si>
    <t>Rovers (FC-370)</t>
  </si>
  <si>
    <t>HQ</t>
  </si>
  <si>
    <t>Bravo</t>
  </si>
  <si>
    <t>Number of Duties this Month</t>
  </si>
  <si>
    <t>Total Number of Companies</t>
  </si>
  <si>
    <t>Largest Company</t>
  </si>
  <si>
    <t xml:space="preserve">Summary </t>
  </si>
  <si>
    <t>Largest</t>
  </si>
  <si>
    <t>Out of all Duty</t>
  </si>
  <si>
    <t>Total</t>
  </si>
  <si>
    <t>Co.</t>
  </si>
  <si>
    <t>Duty Slots</t>
  </si>
  <si>
    <t>Tasked /w Duty</t>
  </si>
  <si>
    <t>Duty's Given</t>
  </si>
  <si>
    <t>Figure 1</t>
  </si>
  <si>
    <t>Figure 2</t>
  </si>
  <si>
    <t>Figure 3</t>
  </si>
  <si>
    <t>Name</t>
  </si>
  <si>
    <t>Sex</t>
  </si>
  <si>
    <t>Full Unit Code</t>
  </si>
  <si>
    <t>Start Date</t>
  </si>
  <si>
    <t>End Date</t>
  </si>
  <si>
    <t>Company</t>
  </si>
  <si>
    <t>Platoon</t>
  </si>
  <si>
    <t>Figure 4</t>
  </si>
  <si>
    <t>StartDate</t>
  </si>
  <si>
    <t>DBS-Days</t>
  </si>
  <si>
    <t>DBE-Days</t>
  </si>
  <si>
    <t>Start Date (DB)</t>
  </si>
  <si>
    <t>End Date (DB)</t>
  </si>
  <si>
    <t>Non-Availability Data</t>
  </si>
  <si>
    <t>Medical Exemption Data</t>
  </si>
  <si>
    <t>Available Bodies Roster</t>
  </si>
  <si>
    <t>C</t>
  </si>
  <si>
    <t>B</t>
  </si>
  <si>
    <t>A</t>
  </si>
  <si>
    <t>D</t>
  </si>
  <si>
    <t>Duty Position Breakdown</t>
  </si>
  <si>
    <t>March</t>
  </si>
  <si>
    <t>DNCO (FC-481)</t>
  </si>
  <si>
    <t>ADNCO (FC-481)</t>
  </si>
  <si>
    <t>Rovers (FC-481)</t>
  </si>
  <si>
    <r>
      <rPr>
        <b/>
        <sz val="11"/>
        <color rgb="FFFF0000"/>
        <rFont val="Calibri"/>
        <family val="2"/>
        <scheme val="minor"/>
      </rPr>
      <t>IMPORTANT! READ ALL INSTRUCTIONS BEFORE YOU CONTINUE!</t>
    </r>
    <r>
      <rPr>
        <sz val="11"/>
        <color theme="1"/>
        <rFont val="Calibri"/>
        <family val="2"/>
        <scheme val="minor"/>
      </rPr>
      <t xml:space="preserve">
</t>
    </r>
    <r>
      <rPr>
        <i/>
        <sz val="11"/>
        <color theme="1"/>
        <rFont val="Calibri"/>
        <family val="2"/>
        <scheme val="minor"/>
      </rPr>
      <t>Macros might not be able to run or be utilized as required if this document is located on or opened from a network drive such as SharePoint or Share Drive, nor if this was opened directly from your email as an attachment. It is strongly recommended to save this document to a location on your local machine, such as your Desktop, or Documents folder, then close and reopen it from that location. Once you have opened a local copy of this document, you will need to enable Macros by following the steps below.</t>
    </r>
    <r>
      <rPr>
        <sz val="11"/>
        <color theme="1"/>
        <rFont val="Calibri"/>
        <family val="2"/>
        <scheme val="minor"/>
      </rPr>
      <t xml:space="preserve">
</t>
    </r>
    <r>
      <rPr>
        <b/>
        <sz val="11"/>
        <color theme="1"/>
        <rFont val="Calibri"/>
        <family val="2"/>
        <scheme val="minor"/>
      </rPr>
      <t>Method 1:</t>
    </r>
    <r>
      <rPr>
        <sz val="11"/>
        <color theme="1"/>
        <rFont val="Calibri"/>
        <family val="2"/>
        <scheme val="minor"/>
      </rPr>
      <t xml:space="preserve">
Towards the top left corner, you should see the yellow banner as shown in Figure 1 (to the right). Click “Enable Content” to continue.
If you attempted Method 1, but a red banner as shown in Figure 2 (to the right) replaces the yellow banner, you will need to read and follow the steps in Method 2 before you can enable and utilize this document.
</t>
    </r>
    <r>
      <rPr>
        <b/>
        <sz val="11"/>
        <color theme="1"/>
        <rFont val="Calibri"/>
        <family val="2"/>
        <scheme val="minor"/>
      </rPr>
      <t>Method 2:</t>
    </r>
    <r>
      <rPr>
        <sz val="11"/>
        <color theme="1"/>
        <rFont val="Calibri"/>
        <family val="2"/>
        <scheme val="minor"/>
      </rPr>
      <t xml:space="preserve">
</t>
    </r>
    <r>
      <rPr>
        <sz val="11"/>
        <rFont val="Calibri"/>
        <family val="2"/>
        <scheme val="minor"/>
      </rPr>
      <t xml:space="preserve">Navigate to where you saved this document on your computer and </t>
    </r>
    <r>
      <rPr>
        <sz val="11"/>
        <color theme="1"/>
        <rFont val="Calibri"/>
        <family val="2"/>
        <scheme val="minor"/>
      </rPr>
      <t xml:space="preserve">right click on it, then select “Properties”. See Figure 3 (to the right).
A window should appear. At the bottom of the properties menu, it might suggest that the file could be harmful, and there should be a checkbox to “Unblock” the file. Go ahead and check that box, then click “Apply”, and then click “OK”.  See Figure 4 (to the right).
After you “Unblock” the file, you should close then re-open this document and attempt Method 1 again.
</t>
    </r>
  </si>
  <si>
    <t>Company List</t>
  </si>
  <si>
    <t>Duty Positions</t>
  </si>
  <si>
    <t>Password</t>
  </si>
  <si>
    <t>DutyR0$t3r</t>
  </si>
  <si>
    <t>Company Abbreviation</t>
  </si>
  <si>
    <t>Total Able-Bodied Personnel</t>
  </si>
  <si>
    <t>Sheet 2</t>
  </si>
  <si>
    <t>Sheet 3</t>
  </si>
  <si>
    <t>Sheet 4</t>
  </si>
  <si>
    <t>Sheet 5</t>
  </si>
  <si>
    <t>FC-370</t>
  </si>
  <si>
    <t>FC-481</t>
  </si>
  <si>
    <t>FC-300</t>
  </si>
  <si>
    <t>Supernumerary</t>
  </si>
  <si>
    <t>Sheet/Roster Names for the Duty Roster Document</t>
  </si>
  <si>
    <t>IMPORTANT!</t>
  </si>
  <si>
    <r>
      <t xml:space="preserve">DO NOT SAVE THIS DOCUMENT WHILE IN DEVELOPER MODE! DOING SO MAY CAUSE UNWANTED EFFECTS. EXIT DEVELOPER MODE FIRST, THEN SAVE THE DOCUMENT.
</t>
    </r>
    <r>
      <rPr>
        <b/>
        <sz val="11"/>
        <color rgb="FF0000FF"/>
        <rFont val="Calibri"/>
        <family val="2"/>
        <scheme val="minor"/>
      </rPr>
      <t>Email "jeffreysda@gmail.com" for any questions, issues, or suggestions.</t>
    </r>
  </si>
  <si>
    <t>NOTES:</t>
  </si>
  <si>
    <t xml:space="preserve">Hello and welcome to Developer Mode!
This is where you can safely make changes to this document to further customize it to your needs.
The gray areas help to identify where the changes will be seen, and what will be changed.
The blue areas are where you make your changes, such as the roster names, the name of a Duty position, the list of companies, etc.
You can even edit this NOTES area to keep your own notes, memos, tips, or really whatever you want.
Some of the option edit information that is used to create other documents, so do be careful when making changes.
If there are any changes that you want to make that cannot be done using Developer Mode, please send an email to jeffreysda@gmail.com with the Subject of "Duty Roster TEMPLATE", and explain what changes need to be made.
If you attempt to make your own changes outside of Developer Mode, you might break the underlying Macros that allow this document to work properly.
TIPS:
- If you hold "Alt" and press "Enter" you can make a new line in this notepad.
- Copy and Paste your notes into a Word document to check for spelling errors before putting them in here.
</t>
  </si>
  <si>
    <t>Website:</t>
  </si>
  <si>
    <t>Contact:</t>
  </si>
  <si>
    <t>jeffreysda@gmail.com</t>
  </si>
  <si>
    <t>https://github.com/JeffreysDA</t>
  </si>
  <si>
    <t>To check for updates, report an issue, or make a request/suggestion, contact me at</t>
  </si>
  <si>
    <t>H</t>
  </si>
  <si>
    <t>G</t>
  </si>
  <si>
    <t>S</t>
  </si>
  <si>
    <t>Company Letter (Morning Report)</t>
  </si>
  <si>
    <t>BGen</t>
  </si>
  <si>
    <t>MajGen</t>
  </si>
  <si>
    <t>Companies that are responsible for standing each duty position. (False and BLANK cells have the same effect)</t>
  </si>
  <si>
    <t>Ranks that can stand each duty position. (BLANK cells are ignored)</t>
  </si>
  <si>
    <t>Rank List
(DropDown, ABM)</t>
  </si>
  <si>
    <t>Able-Bodied Personnel</t>
  </si>
  <si>
    <t>Personnel needed per Duty Position</t>
  </si>
  <si>
    <t>Duties Per Day</t>
  </si>
  <si>
    <t>The italicized numbers displayed to the left are not an accurate reflection of a company’s manpower, they merely display the number of Able-Bodied Personnel each company has that can potentially stand the Duty Position annotated. 
The non- italicized and non-bolded numbers displayed to the left are the suggested number of duty slots to give each respective company for each position based on the Marines they have that can stand said position.</t>
  </si>
  <si>
    <t>Version: 1.9</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</si>
</sst>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0"/>
      <name val="Calibri"/>
      <family val="2"/>
      <scheme val="minor"/>
    </font>
    <font>
      <b/>
      <sz val="24"/>
      <color theme="1"/>
      <name val="Calibri"/>
      <family val="2"/>
      <scheme val="minor"/>
    </font>
    <font>
      <b/>
      <sz val="26"/>
      <color theme="1"/>
      <name val="Calibri"/>
      <family val="2"/>
      <scheme val="minor"/>
    </font>
    <font>
      <b/>
      <sz val="11"/>
      <color theme="0"/>
      <name val="Calibri"/>
      <family val="2"/>
      <scheme val="minor"/>
    </font>
    <font>
      <b/>
      <i/>
      <sz val="11"/>
      <color theme="1"/>
      <name val="Calibri"/>
      <family val="2"/>
      <scheme val="minor"/>
    </font>
    <font>
      <i/>
      <sz val="11"/>
      <color theme="1"/>
      <name val="Calibri"/>
      <family val="2"/>
      <scheme val="minor"/>
    </font>
    <font>
      <i/>
      <sz val="11"/>
      <color theme="0"/>
      <name val="Calibri"/>
      <family val="2"/>
      <scheme val="minor"/>
    </font>
    <font>
      <b/>
      <sz val="10"/>
      <color theme="1"/>
      <name val="Calibri"/>
      <family val="2"/>
      <scheme val="minor"/>
    </font>
    <font>
      <b/>
      <sz val="11"/>
      <color rgb="FFFF0000"/>
      <name val="Calibri"/>
      <family val="2"/>
      <scheme val="minor"/>
    </font>
    <font>
      <sz val="11"/>
      <color theme="9" tint="0.79998168889431442"/>
      <name val="Calibri"/>
      <family val="2"/>
      <scheme val="minor"/>
    </font>
    <font>
      <b/>
      <sz val="11"/>
      <color theme="9" tint="0.79998168889431442"/>
      <name val="Calibri"/>
      <family val="2"/>
      <scheme val="minor"/>
    </font>
    <font>
      <b/>
      <sz val="11"/>
      <color rgb="FF000000"/>
      <name val="Calibri"/>
      <family val="2"/>
    </font>
    <font>
      <b/>
      <sz val="11"/>
      <color rgb="FFC00000"/>
      <name val="Calibri"/>
      <family val="2"/>
      <scheme val="minor"/>
    </font>
    <font>
      <sz val="11"/>
      <color rgb="FF000000"/>
      <name val="Calibri"/>
      <family val="2"/>
    </font>
    <font>
      <b/>
      <sz val="11"/>
      <color rgb="FF0000FF"/>
      <name val="Calibri"/>
      <family val="2"/>
      <scheme val="minor"/>
    </font>
    <font>
      <b/>
      <u/>
      <sz val="11"/>
      <color theme="1"/>
      <name val="Calibri"/>
      <family val="2"/>
      <scheme val="minor"/>
    </font>
    <font>
      <u/>
      <sz val="11"/>
      <color theme="10"/>
      <name val="Calibri"/>
      <family val="2"/>
      <scheme val="minor"/>
    </font>
    <font>
      <sz val="10.5"/>
      <color theme="10"/>
      <name val="Calibri"/>
      <family val="2"/>
      <scheme val="minor"/>
    </font>
    <font>
      <sz val="10.5"/>
      <color theme="1"/>
      <name val="Calibri"/>
      <family val="2"/>
      <scheme val="minor"/>
    </font>
    <font>
      <b/>
      <sz val="9"/>
      <color indexed="81"/>
      <name val="Tahoma"/>
      <family val="2"/>
    </font>
    <font>
      <sz val="9"/>
      <color indexed="81"/>
      <name val="Tahoma"/>
      <family val="2"/>
    </font>
  </fonts>
  <fills count="37">
    <fill>
      <patternFill patternType="none"/>
    </fill>
    <fill>
      <patternFill patternType="gray125"/>
    </fill>
    <fill>
      <patternFill patternType="solid">
        <fgColor rgb="FFFFC000"/>
        <bgColor indexed="64"/>
      </patternFill>
    </fill>
    <fill>
      <patternFill patternType="solid">
        <fgColor theme="0" tint="-0.14999847407452621"/>
        <bgColor indexed="64"/>
      </patternFill>
    </fill>
    <fill>
      <patternFill patternType="solid">
        <fgColor rgb="FF7030A0"/>
        <bgColor indexed="64"/>
      </patternFill>
    </fill>
    <fill>
      <patternFill patternType="solid">
        <fgColor theme="2" tint="-0.499984740745262"/>
        <bgColor indexed="64"/>
      </patternFill>
    </fill>
    <fill>
      <patternFill patternType="solid">
        <fgColor rgb="FF5B9BD5"/>
        <bgColor indexed="64"/>
      </patternFill>
    </fill>
    <fill>
      <patternFill patternType="solid">
        <fgColor rgb="FFFFFF00"/>
        <bgColor indexed="64"/>
      </patternFill>
    </fill>
    <fill>
      <patternFill patternType="solid">
        <fgColor rgb="FF70AD47"/>
        <bgColor indexed="64"/>
      </patternFill>
    </fill>
    <fill>
      <patternFill patternType="solid">
        <fgColor rgb="FFFF0000"/>
        <bgColor indexed="64"/>
      </patternFill>
    </fill>
    <fill>
      <patternFill patternType="solid">
        <fgColor rgb="FF000000"/>
        <bgColor indexed="64"/>
      </patternFill>
    </fill>
    <fill>
      <patternFill patternType="solid">
        <fgColor theme="0" tint="-0.34998626667073579"/>
        <bgColor indexed="64"/>
      </patternFill>
    </fill>
    <fill>
      <patternFill patternType="solid">
        <fgColor rgb="FF44546A"/>
        <bgColor indexed="64"/>
      </patternFill>
    </fill>
    <fill>
      <patternFill patternType="solid">
        <fgColor rgb="FFBDD7EE"/>
        <bgColor indexed="64"/>
      </patternFill>
    </fill>
    <fill>
      <patternFill patternType="solid">
        <fgColor rgb="FFFFE699"/>
        <bgColor indexed="64"/>
      </patternFill>
    </fill>
    <fill>
      <patternFill patternType="solid">
        <fgColor rgb="FFC6E0B4"/>
        <bgColor indexed="64"/>
      </patternFill>
    </fill>
    <fill>
      <patternFill patternType="solid">
        <fgColor rgb="FFA86ED4"/>
        <bgColor indexed="64"/>
      </patternFill>
    </fill>
    <fill>
      <patternFill patternType="solid">
        <fgColor rgb="FF595959"/>
        <bgColor indexed="64"/>
      </patternFill>
    </fill>
    <fill>
      <patternFill patternType="solid">
        <fgColor rgb="FFFF5A5A"/>
        <bgColor indexed="64"/>
      </patternFill>
    </fill>
    <fill>
      <patternFill patternType="solid">
        <fgColor rgb="FFACB9CA"/>
        <bgColor indexed="64"/>
      </patternFill>
    </fill>
    <fill>
      <patternFill patternType="solid">
        <fgColor theme="2" tint="-0.249977111117893"/>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rgb="FFFFFFCC"/>
      </patternFill>
    </fill>
    <fill>
      <patternFill patternType="solid">
        <fgColor theme="0" tint="-0.249977111117893"/>
        <bgColor indexed="64"/>
      </patternFill>
    </fill>
    <fill>
      <patternFill patternType="solid">
        <fgColor theme="1"/>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0" tint="-0.499984740745262"/>
        <bgColor indexed="64"/>
      </patternFill>
    </fill>
  </fills>
  <borders count="73">
    <border>
      <left/>
      <right/>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style="medium">
        <color indexed="64"/>
      </right>
      <top style="thin">
        <color indexed="64"/>
      </top>
      <bottom/>
      <diagonal/>
    </border>
    <border>
      <left/>
      <right/>
      <top style="medium">
        <color indexed="64"/>
      </top>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rgb="FFB2B2B2"/>
      </left>
      <right style="thin">
        <color rgb="FFB2B2B2"/>
      </right>
      <top style="thin">
        <color rgb="FFB2B2B2"/>
      </top>
      <bottom style="thin">
        <color rgb="FFB2B2B2"/>
      </bottom>
      <diagonal/>
    </border>
    <border>
      <left style="medium">
        <color indexed="64"/>
      </left>
      <right style="thin">
        <color rgb="FFB2B2B2"/>
      </right>
      <top style="medium">
        <color indexed="64"/>
      </top>
      <bottom style="thin">
        <color rgb="FFB2B2B2"/>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style="thin">
        <color rgb="FFB2B2B2"/>
      </right>
      <top style="thin">
        <color rgb="FFB2B2B2"/>
      </top>
      <bottom style="thin">
        <color rgb="FFB2B2B2"/>
      </bottom>
      <diagonal/>
    </border>
    <border>
      <left style="thin">
        <color rgb="FFB2B2B2"/>
      </left>
      <right style="medium">
        <color indexed="64"/>
      </right>
      <top style="thin">
        <color rgb="FFB2B2B2"/>
      </top>
      <bottom style="thin">
        <color rgb="FFB2B2B2"/>
      </bottom>
      <diagonal/>
    </border>
    <border>
      <left style="medium">
        <color indexed="64"/>
      </left>
      <right style="thin">
        <color rgb="FFB2B2B2"/>
      </right>
      <top style="thin">
        <color rgb="FFB2B2B2"/>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3" fillId="0" borderId="0" applyFont="0" applyFill="0" applyBorder="0" applyAlignment="0" applyProtection="0"/>
    <xf numFmtId="0" fontId="3" fillId="26" borderId="41" applyNumberFormat="0" applyFont="0" applyAlignment="0" applyProtection="0"/>
    <xf numFmtId="0" fontId="22" fillId="0" borderId="0" applyNumberFormat="0" applyFill="0" applyBorder="0" applyAlignment="0" applyProtection="0"/>
  </cellStyleXfs>
  <cellXfs count="310">
    <xf numFmtId="0" fontId="0" fillId="0" borderId="0" xfId="0"/>
    <xf numFmtId="0" fontId="1" fillId="3" borderId="2" xfId="0" applyFont="1" applyFill="1" applyBorder="1" applyAlignment="1" applyProtection="1">
      <alignment horizontal="center" vertical="center"/>
    </xf>
    <xf numFmtId="0" fontId="0" fillId="0" borderId="0" xfId="0" applyProtection="1"/>
    <xf numFmtId="0" fontId="5" fillId="11" borderId="32" xfId="0" applyFont="1" applyFill="1" applyBorder="1" applyAlignment="1" applyProtection="1">
      <alignment horizontal="center" vertical="center"/>
    </xf>
    <xf numFmtId="0" fontId="6" fillId="11" borderId="32" xfId="0" applyFont="1" applyFill="1" applyBorder="1" applyAlignment="1" applyProtection="1">
      <alignment horizontal="center" vertical="center"/>
    </xf>
    <xf numFmtId="0" fontId="2" fillId="5" borderId="1" xfId="0" applyFont="1" applyFill="1" applyBorder="1" applyProtection="1"/>
    <xf numFmtId="0" fontId="1" fillId="11" borderId="24" xfId="0" applyFont="1" applyFill="1" applyBorder="1" applyAlignment="1" applyProtection="1">
      <alignment horizontal="center" vertical="center"/>
    </xf>
    <xf numFmtId="0" fontId="1" fillId="6" borderId="8" xfId="0" applyFont="1" applyFill="1" applyBorder="1" applyProtection="1"/>
    <xf numFmtId="0" fontId="0" fillId="13" borderId="9" xfId="0" applyFill="1" applyBorder="1" applyAlignment="1" applyProtection="1">
      <alignment horizontal="center" vertical="center"/>
    </xf>
    <xf numFmtId="0" fontId="1" fillId="2" borderId="8" xfId="0" applyFont="1" applyFill="1" applyBorder="1" applyProtection="1"/>
    <xf numFmtId="0" fontId="1" fillId="8" borderId="8" xfId="0" applyFont="1" applyFill="1" applyBorder="1" applyProtection="1"/>
    <xf numFmtId="0" fontId="1" fillId="4" borderId="8" xfId="0" applyFont="1" applyFill="1" applyBorder="1" applyProtection="1"/>
    <xf numFmtId="0" fontId="9" fillId="10" borderId="8" xfId="0" applyFont="1" applyFill="1" applyBorder="1" applyProtection="1"/>
    <xf numFmtId="0" fontId="1" fillId="9" borderId="8" xfId="0" applyFont="1" applyFill="1" applyBorder="1" applyProtection="1"/>
    <xf numFmtId="0" fontId="1" fillId="6" borderId="38" xfId="0" applyFont="1" applyFill="1" applyBorder="1" applyProtection="1"/>
    <xf numFmtId="10" fontId="0" fillId="22" borderId="9" xfId="1" applyNumberFormat="1" applyFont="1" applyFill="1" applyBorder="1" applyAlignment="1" applyProtection="1">
      <alignment horizontal="center"/>
    </xf>
    <xf numFmtId="0" fontId="0" fillId="22" borderId="10" xfId="1" applyNumberFormat="1" applyFont="1" applyFill="1" applyBorder="1" applyAlignment="1" applyProtection="1">
      <alignment horizontal="center"/>
    </xf>
    <xf numFmtId="10" fontId="0" fillId="22" borderId="10" xfId="1" applyNumberFormat="1" applyFont="1" applyFill="1" applyBorder="1" applyAlignment="1" applyProtection="1">
      <alignment horizontal="center"/>
    </xf>
    <xf numFmtId="0" fontId="1" fillId="12" borderId="8" xfId="0" applyFont="1" applyFill="1" applyBorder="1" applyProtection="1"/>
    <xf numFmtId="0" fontId="1" fillId="2" borderId="39" xfId="0" applyFont="1" applyFill="1" applyBorder="1" applyProtection="1"/>
    <xf numFmtId="10" fontId="0" fillId="23" borderId="12" xfId="1" applyNumberFormat="1" applyFont="1" applyFill="1" applyBorder="1" applyAlignment="1" applyProtection="1">
      <alignment horizontal="center"/>
    </xf>
    <xf numFmtId="0" fontId="0" fillId="23" borderId="4" xfId="1" applyNumberFormat="1" applyFont="1" applyFill="1" applyBorder="1" applyAlignment="1" applyProtection="1">
      <alignment horizontal="center"/>
    </xf>
    <xf numFmtId="10" fontId="0" fillId="23" borderId="4" xfId="1" applyNumberFormat="1" applyFont="1" applyFill="1" applyBorder="1" applyAlignment="1" applyProtection="1">
      <alignment horizontal="center"/>
    </xf>
    <xf numFmtId="0" fontId="1" fillId="11" borderId="8" xfId="0" applyFont="1" applyFill="1" applyBorder="1" applyProtection="1"/>
    <xf numFmtId="0" fontId="1" fillId="7" borderId="2" xfId="0" applyFont="1" applyFill="1" applyBorder="1" applyAlignment="1" applyProtection="1">
      <alignment horizontal="center" vertical="center"/>
    </xf>
    <xf numFmtId="0" fontId="1" fillId="8" borderId="39" xfId="0" applyFont="1" applyFill="1" applyBorder="1" applyProtection="1"/>
    <xf numFmtId="10" fontId="0" fillId="24" borderId="12" xfId="1" applyNumberFormat="1" applyFont="1" applyFill="1" applyBorder="1" applyAlignment="1" applyProtection="1">
      <alignment horizontal="center"/>
    </xf>
    <xf numFmtId="0" fontId="0" fillId="24" borderId="4" xfId="1" applyNumberFormat="1" applyFont="1" applyFill="1" applyBorder="1" applyAlignment="1" applyProtection="1">
      <alignment horizontal="center"/>
    </xf>
    <xf numFmtId="10" fontId="0" fillId="24" borderId="4" xfId="1" applyNumberFormat="1" applyFont="1" applyFill="1" applyBorder="1" applyAlignment="1" applyProtection="1">
      <alignment horizontal="center"/>
    </xf>
    <xf numFmtId="0" fontId="1" fillId="4" borderId="39" xfId="0" applyFont="1" applyFill="1" applyBorder="1" applyProtection="1"/>
    <xf numFmtId="10" fontId="0" fillId="16" borderId="12" xfId="1" applyNumberFormat="1" applyFont="1" applyFill="1" applyBorder="1" applyAlignment="1" applyProtection="1">
      <alignment horizontal="center"/>
    </xf>
    <xf numFmtId="0" fontId="0" fillId="16" borderId="4" xfId="1" applyNumberFormat="1" applyFont="1" applyFill="1" applyBorder="1" applyAlignment="1" applyProtection="1">
      <alignment horizontal="center"/>
    </xf>
    <xf numFmtId="10" fontId="0" fillId="16" borderId="4" xfId="1" applyNumberFormat="1" applyFont="1" applyFill="1" applyBorder="1" applyAlignment="1" applyProtection="1">
      <alignment horizontal="center"/>
    </xf>
    <xf numFmtId="0" fontId="9" fillId="10" borderId="39" xfId="0" applyFont="1" applyFill="1" applyBorder="1" applyProtection="1"/>
    <xf numFmtId="10" fontId="4" fillId="21" borderId="12" xfId="1" applyNumberFormat="1" applyFont="1" applyFill="1" applyBorder="1" applyAlignment="1" applyProtection="1">
      <alignment horizontal="center"/>
    </xf>
    <xf numFmtId="0" fontId="4" fillId="21" borderId="4" xfId="1" applyNumberFormat="1" applyFont="1" applyFill="1" applyBorder="1" applyAlignment="1" applyProtection="1">
      <alignment horizontal="center"/>
    </xf>
    <xf numFmtId="10" fontId="4" fillId="21" borderId="4" xfId="1" applyNumberFormat="1" applyFont="1" applyFill="1" applyBorder="1" applyAlignment="1" applyProtection="1">
      <alignment horizontal="center"/>
    </xf>
    <xf numFmtId="0" fontId="1" fillId="9" borderId="39" xfId="0" applyFont="1" applyFill="1" applyBorder="1" applyProtection="1"/>
    <xf numFmtId="10" fontId="0" fillId="18" borderId="12" xfId="1" applyNumberFormat="1" applyFont="1" applyFill="1" applyBorder="1" applyAlignment="1" applyProtection="1">
      <alignment horizontal="center"/>
    </xf>
    <xf numFmtId="0" fontId="0" fillId="18" borderId="4" xfId="1" applyNumberFormat="1" applyFont="1" applyFill="1" applyBorder="1" applyAlignment="1" applyProtection="1">
      <alignment horizontal="center"/>
    </xf>
    <xf numFmtId="10" fontId="0" fillId="18" borderId="4" xfId="1" applyNumberFormat="1" applyFont="1" applyFill="1" applyBorder="1" applyAlignment="1" applyProtection="1">
      <alignment horizontal="center"/>
    </xf>
    <xf numFmtId="0" fontId="0" fillId="5" borderId="1" xfId="0" applyFill="1" applyBorder="1" applyProtection="1"/>
    <xf numFmtId="0" fontId="1" fillId="20" borderId="2" xfId="0" applyFont="1" applyFill="1" applyBorder="1" applyAlignment="1" applyProtection="1">
      <alignment horizontal="center" vertical="center"/>
    </xf>
    <xf numFmtId="0" fontId="1" fillId="12" borderId="40" xfId="0" applyFont="1" applyFill="1" applyBorder="1" applyProtection="1"/>
    <xf numFmtId="10" fontId="0" fillId="25" borderId="30" xfId="1" applyNumberFormat="1" applyFont="1" applyFill="1" applyBorder="1" applyAlignment="1" applyProtection="1">
      <alignment horizontal="center"/>
    </xf>
    <xf numFmtId="0" fontId="0" fillId="25" borderId="35" xfId="1" applyNumberFormat="1" applyFont="1" applyFill="1" applyBorder="1" applyAlignment="1" applyProtection="1">
      <alignment horizontal="center"/>
    </xf>
    <xf numFmtId="10" fontId="0" fillId="25" borderId="35" xfId="1" applyNumberFormat="1" applyFont="1" applyFill="1" applyBorder="1" applyAlignment="1" applyProtection="1">
      <alignment horizontal="center"/>
    </xf>
    <xf numFmtId="0" fontId="11" fillId="22" borderId="9" xfId="0" applyFont="1" applyFill="1" applyBorder="1" applyAlignment="1" applyProtection="1">
      <alignment horizontal="center" vertical="center"/>
    </xf>
    <xf numFmtId="0" fontId="0" fillId="22" borderId="11" xfId="0" applyFont="1" applyFill="1" applyBorder="1" applyAlignment="1" applyProtection="1">
      <alignment horizontal="center" vertical="center"/>
    </xf>
    <xf numFmtId="0" fontId="11" fillId="23" borderId="12" xfId="0" applyFont="1" applyFill="1" applyBorder="1" applyAlignment="1" applyProtection="1">
      <alignment horizontal="center" vertical="center"/>
    </xf>
    <xf numFmtId="0" fontId="0" fillId="23" borderId="5" xfId="0" applyFont="1" applyFill="1" applyBorder="1" applyAlignment="1" applyProtection="1">
      <alignment horizontal="center" vertical="center"/>
    </xf>
    <xf numFmtId="0" fontId="11" fillId="24" borderId="12" xfId="0" applyFont="1" applyFill="1" applyBorder="1" applyAlignment="1" applyProtection="1">
      <alignment horizontal="center" vertical="center"/>
    </xf>
    <xf numFmtId="0" fontId="0" fillId="24" borderId="5" xfId="0" applyFont="1" applyFill="1" applyBorder="1" applyAlignment="1" applyProtection="1">
      <alignment horizontal="center" vertical="center"/>
    </xf>
    <xf numFmtId="0" fontId="11" fillId="16" borderId="12" xfId="0" applyFont="1" applyFill="1" applyBorder="1" applyAlignment="1" applyProtection="1">
      <alignment horizontal="center" vertical="center"/>
    </xf>
    <xf numFmtId="0" fontId="0" fillId="16" borderId="5" xfId="0" applyFont="1" applyFill="1" applyBorder="1" applyAlignment="1" applyProtection="1">
      <alignment horizontal="center" vertical="center"/>
    </xf>
    <xf numFmtId="0" fontId="12" fillId="21" borderId="12" xfId="0" applyFont="1" applyFill="1" applyBorder="1" applyAlignment="1" applyProtection="1">
      <alignment horizontal="center" vertical="center"/>
    </xf>
    <xf numFmtId="0" fontId="4" fillId="21" borderId="5" xfId="0" applyFont="1" applyFill="1" applyBorder="1" applyAlignment="1" applyProtection="1">
      <alignment horizontal="center" vertical="center"/>
    </xf>
    <xf numFmtId="0" fontId="11" fillId="18" borderId="12" xfId="0" applyFont="1" applyFill="1" applyBorder="1" applyAlignment="1" applyProtection="1">
      <alignment horizontal="center" vertical="center"/>
    </xf>
    <xf numFmtId="0" fontId="0" fillId="18" borderId="5" xfId="0" applyFont="1" applyFill="1" applyBorder="1" applyAlignment="1" applyProtection="1">
      <alignment horizontal="center" vertical="center"/>
    </xf>
    <xf numFmtId="0" fontId="11" fillId="25" borderId="30" xfId="0" applyFont="1" applyFill="1" applyBorder="1" applyAlignment="1" applyProtection="1">
      <alignment horizontal="center" vertical="center"/>
    </xf>
    <xf numFmtId="0" fontId="0" fillId="25" borderId="31" xfId="0" applyFont="1"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0" fillId="22" borderId="11" xfId="1" applyNumberFormat="1" applyFont="1" applyFill="1" applyBorder="1" applyAlignment="1" applyProtection="1">
      <alignment horizontal="center"/>
      <protection locked="0"/>
    </xf>
    <xf numFmtId="0" fontId="0" fillId="23" borderId="5" xfId="1" applyNumberFormat="1" applyFont="1" applyFill="1" applyBorder="1" applyAlignment="1" applyProtection="1">
      <alignment horizontal="center"/>
      <protection locked="0"/>
    </xf>
    <xf numFmtId="0" fontId="0" fillId="24" borderId="5" xfId="1" applyNumberFormat="1" applyFont="1" applyFill="1" applyBorder="1" applyAlignment="1" applyProtection="1">
      <alignment horizontal="center"/>
      <protection locked="0"/>
    </xf>
    <xf numFmtId="0" fontId="0" fillId="16" borderId="5" xfId="1" applyNumberFormat="1" applyFont="1" applyFill="1" applyBorder="1" applyAlignment="1" applyProtection="1">
      <alignment horizontal="center"/>
      <protection locked="0"/>
    </xf>
    <xf numFmtId="0" fontId="4" fillId="21" borderId="5" xfId="1" applyNumberFormat="1" applyFont="1" applyFill="1" applyBorder="1" applyAlignment="1" applyProtection="1">
      <alignment horizontal="center"/>
      <protection locked="0"/>
    </xf>
    <xf numFmtId="0" fontId="0" fillId="18" borderId="5" xfId="1" applyNumberFormat="1" applyFont="1" applyFill="1" applyBorder="1" applyAlignment="1" applyProtection="1">
      <alignment horizontal="center"/>
      <protection locked="0"/>
    </xf>
    <xf numFmtId="0" fontId="0" fillId="25" borderId="31" xfId="1" applyNumberFormat="1" applyFont="1" applyFill="1" applyBorder="1" applyAlignment="1" applyProtection="1">
      <alignment horizontal="center"/>
      <protection locked="0"/>
    </xf>
    <xf numFmtId="0" fontId="0" fillId="29" borderId="0" xfId="0" applyFill="1" applyBorder="1"/>
    <xf numFmtId="0" fontId="1" fillId="29" borderId="53" xfId="0" applyFont="1" applyFill="1" applyBorder="1" applyAlignment="1">
      <alignment horizontal="center" vertical="center"/>
    </xf>
    <xf numFmtId="0" fontId="0" fillId="29" borderId="54" xfId="0" applyFill="1" applyBorder="1"/>
    <xf numFmtId="0" fontId="0" fillId="29" borderId="55" xfId="0" applyFill="1" applyBorder="1"/>
    <xf numFmtId="0" fontId="0" fillId="29" borderId="56" xfId="0" applyFill="1" applyBorder="1"/>
    <xf numFmtId="0" fontId="0" fillId="29" borderId="57" xfId="0" applyFill="1" applyBorder="1"/>
    <xf numFmtId="0" fontId="0" fillId="29" borderId="58" xfId="0" applyFill="1" applyBorder="1"/>
    <xf numFmtId="0" fontId="0" fillId="29" borderId="59" xfId="0" applyFill="1" applyBorder="1"/>
    <xf numFmtId="0" fontId="0" fillId="29" borderId="3" xfId="0" applyFill="1" applyBorder="1"/>
    <xf numFmtId="0" fontId="0" fillId="29" borderId="0" xfId="0" applyFill="1"/>
    <xf numFmtId="0" fontId="1" fillId="29" borderId="54" xfId="0" applyFont="1" applyFill="1" applyBorder="1" applyAlignment="1">
      <alignment horizontal="center" vertical="center"/>
    </xf>
    <xf numFmtId="15" fontId="15" fillId="30" borderId="0" xfId="0" applyNumberFormat="1" applyFont="1" applyFill="1" applyProtection="1"/>
    <xf numFmtId="0" fontId="15" fillId="30" borderId="0" xfId="0" applyFont="1" applyFill="1" applyProtection="1"/>
    <xf numFmtId="0" fontId="15" fillId="30" borderId="0" xfId="0" applyFont="1" applyFill="1" applyBorder="1" applyAlignment="1" applyProtection="1">
      <alignment horizontal="center" vertical="center"/>
    </xf>
    <xf numFmtId="0" fontId="16" fillId="30" borderId="0" xfId="0" applyFont="1" applyFill="1" applyBorder="1" applyProtection="1"/>
    <xf numFmtId="10" fontId="15" fillId="30" borderId="0" xfId="1" applyNumberFormat="1" applyFont="1" applyFill="1" applyProtection="1"/>
    <xf numFmtId="0" fontId="16" fillId="30" borderId="0" xfId="0" applyFont="1" applyFill="1" applyAlignment="1" applyProtection="1">
      <alignment horizontal="center" vertical="center"/>
    </xf>
    <xf numFmtId="0" fontId="15" fillId="30" borderId="0" xfId="0" applyFont="1" applyFill="1" applyAlignment="1" applyProtection="1">
      <alignment horizontal="center" vertical="center"/>
    </xf>
    <xf numFmtId="0" fontId="0" fillId="31" borderId="33" xfId="0" applyFill="1" applyBorder="1" applyAlignment="1" applyProtection="1">
      <alignment horizontal="center" vertical="center"/>
      <protection locked="0"/>
    </xf>
    <xf numFmtId="0" fontId="1" fillId="31" borderId="21" xfId="0" applyFont="1" applyFill="1" applyBorder="1" applyAlignment="1" applyProtection="1">
      <alignment horizontal="center" vertical="center"/>
    </xf>
    <xf numFmtId="0" fontId="1" fillId="31" borderId="6" xfId="0" applyFont="1" applyFill="1" applyBorder="1" applyAlignment="1" applyProtection="1">
      <alignment horizontal="center" vertical="center"/>
    </xf>
    <xf numFmtId="0" fontId="1" fillId="31" borderId="26" xfId="0" applyFont="1" applyFill="1" applyBorder="1" applyAlignment="1" applyProtection="1">
      <alignment horizontal="center" vertical="center"/>
    </xf>
    <xf numFmtId="0" fontId="1" fillId="31" borderId="19" xfId="0" applyFont="1" applyFill="1" applyBorder="1" applyAlignment="1" applyProtection="1">
      <alignment horizontal="center" vertical="center"/>
    </xf>
    <xf numFmtId="0" fontId="1" fillId="31" borderId="25" xfId="0" applyFont="1" applyFill="1" applyBorder="1" applyAlignment="1" applyProtection="1">
      <alignment horizontal="center" vertical="center"/>
    </xf>
    <xf numFmtId="0" fontId="1" fillId="31" borderId="27" xfId="0" applyFont="1" applyFill="1" applyBorder="1" applyAlignment="1" applyProtection="1">
      <alignment horizontal="center" vertical="center"/>
    </xf>
    <xf numFmtId="0" fontId="10" fillId="31" borderId="21" xfId="0" applyFont="1" applyFill="1" applyBorder="1" applyAlignment="1" applyProtection="1">
      <alignment horizontal="center" vertical="center"/>
    </xf>
    <xf numFmtId="0" fontId="1" fillId="31" borderId="36" xfId="0" applyFont="1" applyFill="1" applyBorder="1" applyAlignment="1" applyProtection="1">
      <alignment horizontal="center" vertical="center"/>
    </xf>
    <xf numFmtId="0" fontId="1" fillId="31" borderId="20" xfId="0" applyFont="1" applyFill="1" applyBorder="1" applyAlignment="1" applyProtection="1">
      <alignment horizontal="center" vertical="center"/>
    </xf>
    <xf numFmtId="0" fontId="0" fillId="31" borderId="37" xfId="0" applyFill="1" applyBorder="1" applyProtection="1"/>
    <xf numFmtId="0" fontId="0" fillId="31" borderId="5" xfId="0" applyFill="1" applyBorder="1" applyProtection="1"/>
    <xf numFmtId="0" fontId="0" fillId="31" borderId="15" xfId="0" applyFill="1" applyBorder="1" applyAlignment="1" applyProtection="1">
      <alignment horizontal="center" vertical="center"/>
    </xf>
    <xf numFmtId="0" fontId="2" fillId="30" borderId="0" xfId="0" applyFont="1" applyFill="1" applyProtection="1"/>
    <xf numFmtId="15" fontId="0" fillId="0" borderId="0" xfId="0" applyNumberFormat="1"/>
    <xf numFmtId="0" fontId="1" fillId="11" borderId="1" xfId="0" applyFont="1" applyFill="1" applyBorder="1" applyProtection="1"/>
    <xf numFmtId="0" fontId="0" fillId="3" borderId="64" xfId="0" applyFill="1" applyBorder="1" applyAlignment="1" applyProtection="1">
      <alignment horizontal="center" vertical="center"/>
    </xf>
    <xf numFmtId="0" fontId="0" fillId="3" borderId="65" xfId="0" applyFill="1" applyBorder="1" applyAlignment="1" applyProtection="1">
      <alignment horizontal="center" vertical="center"/>
    </xf>
    <xf numFmtId="0" fontId="0" fillId="0" borderId="16" xfId="0" applyBorder="1" applyProtection="1"/>
    <xf numFmtId="0" fontId="0" fillId="0" borderId="50" xfId="0" applyBorder="1" applyProtection="1"/>
    <xf numFmtId="0" fontId="1" fillId="0" borderId="8" xfId="0" applyFont="1" applyBorder="1" applyAlignment="1" applyProtection="1"/>
    <xf numFmtId="0" fontId="1" fillId="27" borderId="2" xfId="0" applyFont="1" applyFill="1" applyBorder="1" applyAlignment="1" applyProtection="1">
      <alignment horizontal="center" vertical="center"/>
    </xf>
    <xf numFmtId="0" fontId="1" fillId="27" borderId="2" xfId="0" applyFont="1" applyFill="1" applyBorder="1" applyAlignment="1" applyProtection="1">
      <alignment horizontal="center" vertical="center" wrapText="1"/>
    </xf>
    <xf numFmtId="49" fontId="0" fillId="22" borderId="32" xfId="0" applyNumberFormat="1" applyFill="1" applyBorder="1" applyAlignment="1" applyProtection="1">
      <protection locked="0"/>
    </xf>
    <xf numFmtId="49" fontId="0" fillId="22" borderId="62" xfId="0" applyNumberFormat="1" applyFill="1" applyBorder="1" applyAlignment="1" applyProtection="1">
      <protection locked="0"/>
    </xf>
    <xf numFmtId="49" fontId="0" fillId="22" borderId="33" xfId="0" applyNumberFormat="1" applyFill="1" applyBorder="1" applyAlignment="1" applyProtection="1">
      <protection locked="0"/>
    </xf>
    <xf numFmtId="0" fontId="1" fillId="34" borderId="2" xfId="0" applyFont="1" applyFill="1" applyBorder="1" applyAlignment="1">
      <alignment vertical="center"/>
    </xf>
    <xf numFmtId="0" fontId="0" fillId="30" borderId="0" xfId="0" applyFill="1" applyBorder="1" applyAlignment="1" applyProtection="1"/>
    <xf numFmtId="0" fontId="0" fillId="30" borderId="0" xfId="0" applyFill="1" applyProtection="1"/>
    <xf numFmtId="0" fontId="13" fillId="27" borderId="2" xfId="0" applyFont="1" applyFill="1" applyBorder="1" applyAlignment="1" applyProtection="1">
      <alignment horizontal="center" vertical="center" wrapText="1"/>
    </xf>
    <xf numFmtId="49" fontId="0" fillId="30" borderId="0" xfId="0" applyNumberFormat="1" applyFill="1" applyProtection="1"/>
    <xf numFmtId="0" fontId="1" fillId="28" borderId="2" xfId="0" applyFont="1" applyFill="1" applyBorder="1" applyAlignment="1" applyProtection="1">
      <alignment horizontal="center" vertical="center"/>
    </xf>
    <xf numFmtId="0" fontId="0" fillId="22" borderId="9" xfId="0" applyFill="1" applyBorder="1" applyProtection="1">
      <protection locked="0"/>
    </xf>
    <xf numFmtId="0" fontId="0" fillId="22" borderId="10" xfId="0" applyFill="1" applyBorder="1" applyProtection="1">
      <protection locked="0"/>
    </xf>
    <xf numFmtId="0" fontId="0" fillId="22" borderId="11" xfId="0" applyFill="1" applyBorder="1" applyProtection="1">
      <protection locked="0"/>
    </xf>
    <xf numFmtId="0" fontId="0" fillId="22" borderId="12" xfId="0" applyFill="1" applyBorder="1" applyProtection="1">
      <protection locked="0"/>
    </xf>
    <xf numFmtId="0" fontId="0" fillId="22" borderId="4" xfId="0" applyFill="1" applyBorder="1" applyProtection="1">
      <protection locked="0"/>
    </xf>
    <xf numFmtId="0" fontId="0" fillId="22" borderId="5" xfId="0" applyFill="1" applyBorder="1" applyProtection="1">
      <protection locked="0"/>
    </xf>
    <xf numFmtId="0" fontId="0" fillId="22" borderId="30" xfId="0" applyFill="1" applyBorder="1" applyProtection="1">
      <protection locked="0"/>
    </xf>
    <xf numFmtId="0" fontId="0" fillId="22" borderId="35" xfId="0" applyFill="1" applyBorder="1" applyProtection="1">
      <protection locked="0"/>
    </xf>
    <xf numFmtId="0" fontId="0" fillId="22" borderId="31" xfId="0" applyFill="1" applyBorder="1" applyProtection="1">
      <protection locked="0"/>
    </xf>
    <xf numFmtId="0" fontId="1" fillId="27" borderId="32" xfId="0" applyNumberFormat="1" applyFont="1" applyFill="1" applyBorder="1" applyAlignment="1" applyProtection="1">
      <alignment horizontal="center" vertical="center"/>
    </xf>
    <xf numFmtId="0" fontId="1" fillId="27" borderId="63" xfId="0" applyNumberFormat="1" applyFont="1" applyFill="1" applyBorder="1" applyAlignment="1" applyProtection="1">
      <alignment horizontal="center" vertical="center"/>
    </xf>
    <xf numFmtId="0" fontId="1" fillId="27" borderId="2" xfId="0" applyNumberFormat="1"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0" fillId="3" borderId="50" xfId="0" applyFill="1" applyBorder="1" applyAlignment="1" applyProtection="1">
      <alignment horizontal="center" vertical="center"/>
    </xf>
    <xf numFmtId="0" fontId="1" fillId="27" borderId="24" xfId="0" applyFont="1" applyFill="1" applyBorder="1" applyAlignment="1" applyProtection="1">
      <alignment horizontal="center" vertical="center"/>
    </xf>
    <xf numFmtId="0" fontId="1" fillId="27" borderId="29" xfId="0" applyNumberFormat="1" applyFont="1" applyFill="1" applyBorder="1" applyAlignment="1" applyProtection="1">
      <alignment horizontal="center" vertical="center"/>
    </xf>
    <xf numFmtId="0" fontId="0" fillId="22" borderId="71" xfId="0" applyFill="1" applyBorder="1" applyProtection="1">
      <protection locked="0"/>
    </xf>
    <xf numFmtId="0" fontId="0" fillId="22" borderId="70" xfId="0" applyFill="1" applyBorder="1" applyProtection="1">
      <protection locked="0"/>
    </xf>
    <xf numFmtId="0" fontId="0" fillId="22" borderId="72" xfId="0" applyFill="1" applyBorder="1" applyProtection="1">
      <protection locked="0"/>
    </xf>
    <xf numFmtId="0" fontId="13" fillId="27" borderId="24" xfId="0" applyFont="1" applyFill="1" applyBorder="1" applyAlignment="1" applyProtection="1">
      <alignment horizontal="center" vertical="center" wrapText="1"/>
    </xf>
    <xf numFmtId="0" fontId="0" fillId="22" borderId="32" xfId="0" applyFill="1" applyBorder="1" applyProtection="1">
      <protection locked="0"/>
    </xf>
    <xf numFmtId="0" fontId="0" fillId="22" borderId="62" xfId="0" applyFill="1" applyBorder="1" applyProtection="1">
      <protection locked="0"/>
    </xf>
    <xf numFmtId="0" fontId="0" fillId="22" borderId="33" xfId="0" applyFill="1" applyBorder="1" applyProtection="1">
      <protection locked="0"/>
    </xf>
    <xf numFmtId="0" fontId="0" fillId="35" borderId="0" xfId="0" applyFill="1" applyProtection="1"/>
    <xf numFmtId="0" fontId="0" fillId="35" borderId="0" xfId="0" applyFill="1" applyAlignment="1" applyProtection="1"/>
    <xf numFmtId="0" fontId="15" fillId="35" borderId="0" xfId="0" applyFont="1" applyFill="1" applyProtection="1"/>
    <xf numFmtId="0" fontId="0" fillId="35" borderId="0" xfId="0" applyNumberFormat="1" applyFill="1" applyAlignment="1" applyProtection="1"/>
    <xf numFmtId="0" fontId="0" fillId="35" borderId="0" xfId="1" applyNumberFormat="1" applyFont="1" applyFill="1" applyAlignment="1" applyProtection="1"/>
    <xf numFmtId="0" fontId="0" fillId="35" borderId="0" xfId="0" applyNumberFormat="1" applyFill="1" applyAlignment="1" applyProtection="1">
      <alignment horizontal="center" vertical="center"/>
    </xf>
    <xf numFmtId="0" fontId="0" fillId="35" borderId="0" xfId="0" applyNumberFormat="1" applyFill="1" applyProtection="1"/>
    <xf numFmtId="49" fontId="0" fillId="22" borderId="60" xfId="0" applyNumberFormat="1" applyFill="1" applyBorder="1" applyAlignment="1" applyProtection="1">
      <protection locked="0"/>
    </xf>
    <xf numFmtId="49" fontId="0" fillId="22" borderId="39" xfId="0" applyNumberFormat="1" applyFill="1" applyBorder="1" applyAlignment="1" applyProtection="1">
      <protection locked="0"/>
    </xf>
    <xf numFmtId="49" fontId="0" fillId="22" borderId="40" xfId="0" applyNumberFormat="1" applyFill="1" applyBorder="1" applyAlignment="1" applyProtection="1">
      <protection locked="0"/>
    </xf>
    <xf numFmtId="0" fontId="1" fillId="27" borderId="51" xfId="0" applyFont="1" applyFill="1" applyBorder="1" applyAlignment="1" applyProtection="1">
      <alignment horizontal="center" vertical="center"/>
    </xf>
    <xf numFmtId="0" fontId="1" fillId="27" borderId="63" xfId="0" applyFont="1" applyFill="1" applyBorder="1" applyAlignment="1" applyProtection="1">
      <alignment horizontal="center" vertical="center"/>
    </xf>
    <xf numFmtId="49" fontId="0" fillId="22" borderId="9" xfId="0" applyNumberFormat="1" applyFill="1" applyBorder="1" applyAlignment="1" applyProtection="1">
      <protection locked="0"/>
    </xf>
    <xf numFmtId="49" fontId="0" fillId="22" borderId="12" xfId="0" applyNumberFormat="1" applyFill="1" applyBorder="1" applyAlignment="1" applyProtection="1">
      <protection locked="0"/>
    </xf>
    <xf numFmtId="49" fontId="0" fillId="22" borderId="30" xfId="0" applyNumberFormat="1" applyFill="1" applyBorder="1" applyAlignment="1" applyProtection="1">
      <protection locked="0"/>
    </xf>
    <xf numFmtId="49" fontId="0" fillId="22" borderId="2" xfId="0" applyNumberFormat="1" applyFill="1" applyBorder="1" applyProtection="1">
      <protection locked="0"/>
    </xf>
    <xf numFmtId="0" fontId="0" fillId="13" borderId="9" xfId="0" applyFill="1" applyBorder="1" applyAlignment="1" applyProtection="1">
      <alignment horizontal="center" vertical="center"/>
    </xf>
    <xf numFmtId="0" fontId="0" fillId="13" borderId="11" xfId="0" applyFill="1" applyBorder="1" applyAlignment="1" applyProtection="1">
      <alignment horizontal="center" vertical="center"/>
    </xf>
    <xf numFmtId="0" fontId="0" fillId="14" borderId="12" xfId="0" applyFill="1" applyBorder="1" applyAlignment="1" applyProtection="1">
      <alignment horizontal="center" vertical="center"/>
    </xf>
    <xf numFmtId="0" fontId="0" fillId="14" borderId="5" xfId="0" applyFill="1" applyBorder="1" applyAlignment="1" applyProtection="1">
      <alignment horizontal="center" vertical="center"/>
    </xf>
    <xf numFmtId="0" fontId="0" fillId="15" borderId="12" xfId="0" applyFill="1" applyBorder="1" applyAlignment="1" applyProtection="1">
      <alignment horizontal="center" vertical="center"/>
    </xf>
    <xf numFmtId="0" fontId="0" fillId="15" borderId="5" xfId="0" applyFill="1" applyBorder="1" applyAlignment="1" applyProtection="1">
      <alignment horizontal="center" vertical="center"/>
    </xf>
    <xf numFmtId="0" fontId="0" fillId="16" borderId="12" xfId="0" applyFill="1" applyBorder="1" applyAlignment="1" applyProtection="1">
      <alignment horizontal="center" vertical="center"/>
    </xf>
    <xf numFmtId="0" fontId="0" fillId="16" borderId="5" xfId="0" applyFill="1" applyBorder="1" applyAlignment="1" applyProtection="1">
      <alignment horizontal="center" vertical="center"/>
    </xf>
    <xf numFmtId="0" fontId="4" fillId="17" borderId="12" xfId="0" applyFont="1" applyFill="1" applyBorder="1" applyAlignment="1" applyProtection="1">
      <alignment horizontal="center" vertical="center"/>
    </xf>
    <xf numFmtId="0" fontId="4" fillId="17" borderId="5" xfId="0" applyFont="1" applyFill="1" applyBorder="1" applyAlignment="1" applyProtection="1">
      <alignment horizontal="center" vertical="center"/>
    </xf>
    <xf numFmtId="0" fontId="0" fillId="18" borderId="12" xfId="0" applyFill="1" applyBorder="1" applyAlignment="1" applyProtection="1">
      <alignment horizontal="center" vertical="center"/>
    </xf>
    <xf numFmtId="0" fontId="0" fillId="18" borderId="5" xfId="0" applyFill="1" applyBorder="1" applyAlignment="1" applyProtection="1">
      <alignment horizontal="center" vertical="center"/>
    </xf>
    <xf numFmtId="0" fontId="0" fillId="19" borderId="30" xfId="0" applyFill="1" applyBorder="1" applyAlignment="1" applyProtection="1">
      <alignment horizontal="center" vertical="center"/>
    </xf>
    <xf numFmtId="0" fontId="0" fillId="19" borderId="31" xfId="0" applyFill="1" applyBorder="1" applyAlignment="1" applyProtection="1">
      <alignment horizontal="center" vertical="center"/>
    </xf>
    <xf numFmtId="0" fontId="2" fillId="30" borderId="0" xfId="0" applyFont="1" applyFill="1" applyProtection="1"/>
    <xf numFmtId="0" fontId="18" fillId="32" borderId="2" xfId="0" applyFont="1" applyFill="1" applyBorder="1" applyAlignment="1" applyProtection="1">
      <alignment horizontal="center" vertical="center"/>
    </xf>
    <xf numFmtId="0" fontId="0" fillId="30" borderId="0" xfId="0" applyFill="1" applyProtection="1"/>
    <xf numFmtId="0" fontId="0" fillId="14" borderId="4" xfId="0" applyFill="1" applyBorder="1" applyAlignment="1" applyProtection="1">
      <alignment horizontal="center" vertical="center"/>
    </xf>
    <xf numFmtId="0" fontId="0" fillId="15" borderId="4" xfId="0" applyFill="1" applyBorder="1" applyAlignment="1" applyProtection="1">
      <alignment horizontal="center" vertical="center"/>
    </xf>
    <xf numFmtId="0" fontId="0" fillId="16" borderId="4" xfId="0" applyFill="1" applyBorder="1" applyAlignment="1" applyProtection="1">
      <alignment horizontal="center" vertical="center"/>
    </xf>
    <xf numFmtId="0" fontId="4" fillId="17" borderId="4" xfId="0" applyFont="1" applyFill="1" applyBorder="1" applyAlignment="1" applyProtection="1">
      <alignment horizontal="center" vertical="center"/>
    </xf>
    <xf numFmtId="0" fontId="0" fillId="18" borderId="4" xfId="0" applyFill="1" applyBorder="1" applyAlignment="1" applyProtection="1">
      <alignment horizontal="center" vertical="center"/>
    </xf>
    <xf numFmtId="0" fontId="0" fillId="13" borderId="10" xfId="0" applyFill="1" applyBorder="1" applyAlignment="1" applyProtection="1">
      <alignment horizontal="center" vertical="center"/>
    </xf>
    <xf numFmtId="0" fontId="0" fillId="19" borderId="35" xfId="0" applyFill="1" applyBorder="1" applyAlignment="1" applyProtection="1">
      <alignment horizontal="center" vertical="center"/>
    </xf>
    <xf numFmtId="0" fontId="0" fillId="35" borderId="0" xfId="0" applyFill="1" applyProtection="1"/>
    <xf numFmtId="0" fontId="0" fillId="26" borderId="42" xfId="2" applyFont="1" applyBorder="1" applyAlignment="1">
      <alignment horizontal="left" vertical="top" wrapText="1"/>
    </xf>
    <xf numFmtId="0" fontId="0" fillId="26" borderId="43" xfId="2" applyFont="1" applyBorder="1" applyAlignment="1">
      <alignment horizontal="left" vertical="top" wrapText="1"/>
    </xf>
    <xf numFmtId="0" fontId="0" fillId="26" borderId="44" xfId="2" applyFont="1" applyBorder="1" applyAlignment="1">
      <alignment horizontal="left" vertical="top" wrapText="1"/>
    </xf>
    <xf numFmtId="0" fontId="0" fillId="26" borderId="45" xfId="2" applyFont="1" applyBorder="1" applyAlignment="1">
      <alignment horizontal="left" vertical="top" wrapText="1"/>
    </xf>
    <xf numFmtId="0" fontId="0" fillId="26" borderId="41" xfId="2" applyFont="1" applyBorder="1" applyAlignment="1">
      <alignment horizontal="left" vertical="top" wrapText="1"/>
    </xf>
    <xf numFmtId="0" fontId="0" fillId="26" borderId="46" xfId="2" applyFont="1" applyBorder="1" applyAlignment="1">
      <alignment horizontal="left" vertical="top" wrapText="1"/>
    </xf>
    <xf numFmtId="0" fontId="0" fillId="26" borderId="47" xfId="2" applyFont="1" applyBorder="1" applyAlignment="1">
      <alignment horizontal="left" vertical="top" wrapText="1"/>
    </xf>
    <xf numFmtId="0" fontId="0" fillId="26" borderId="48" xfId="2" applyFont="1" applyBorder="1" applyAlignment="1">
      <alignment horizontal="left" vertical="top" wrapText="1"/>
    </xf>
    <xf numFmtId="0" fontId="0" fillId="26" borderId="49" xfId="2" applyFont="1" applyBorder="1" applyAlignment="1">
      <alignment horizontal="left" vertical="top" wrapText="1"/>
    </xf>
    <xf numFmtId="0" fontId="23" fillId="24" borderId="60" xfId="3" applyFont="1" applyFill="1" applyBorder="1" applyAlignment="1">
      <alignment horizontal="left" vertical="center"/>
    </xf>
    <xf numFmtId="0" fontId="23" fillId="24" borderId="68" xfId="3" applyFont="1" applyFill="1" applyBorder="1" applyAlignment="1">
      <alignment horizontal="left" vertical="center"/>
    </xf>
    <xf numFmtId="0" fontId="23" fillId="24" borderId="19" xfId="3" applyFont="1" applyFill="1" applyBorder="1" applyAlignment="1">
      <alignment horizontal="left" vertical="center"/>
    </xf>
    <xf numFmtId="0" fontId="23" fillId="24" borderId="40" xfId="3" applyFont="1" applyFill="1" applyBorder="1" applyAlignment="1">
      <alignment horizontal="left" vertical="center"/>
    </xf>
    <xf numFmtId="0" fontId="23" fillId="24" borderId="69" xfId="3" applyFont="1" applyFill="1" applyBorder="1" applyAlignment="1">
      <alignment horizontal="left" vertical="center"/>
    </xf>
    <xf numFmtId="0" fontId="23" fillId="24" borderId="61" xfId="3" applyFont="1" applyFill="1" applyBorder="1" applyAlignment="1">
      <alignment horizontal="left" vertical="center"/>
    </xf>
    <xf numFmtId="0" fontId="24" fillId="34" borderId="1" xfId="0" applyFont="1" applyFill="1" applyBorder="1" applyAlignment="1">
      <alignment horizontal="left" vertical="top" wrapText="1"/>
    </xf>
    <xf numFmtId="0" fontId="24" fillId="34" borderId="28" xfId="0" applyFont="1" applyFill="1" applyBorder="1" applyAlignment="1">
      <alignment horizontal="left" vertical="top" wrapText="1"/>
    </xf>
    <xf numFmtId="0" fontId="24" fillId="34" borderId="7" xfId="0" applyFont="1" applyFill="1" applyBorder="1" applyAlignment="1">
      <alignment horizontal="left" vertical="top" wrapText="1"/>
    </xf>
    <xf numFmtId="0" fontId="24" fillId="34" borderId="29" xfId="0" applyFont="1" applyFill="1" applyBorder="1" applyAlignment="1">
      <alignment horizontal="left" vertical="top" wrapText="1"/>
    </xf>
    <xf numFmtId="0" fontId="24" fillId="34" borderId="23" xfId="0" applyFont="1" applyFill="1" applyBorder="1" applyAlignment="1">
      <alignment horizontal="left" vertical="top" wrapText="1"/>
    </xf>
    <xf numFmtId="0" fontId="24" fillId="34" borderId="22" xfId="0" applyFont="1" applyFill="1" applyBorder="1" applyAlignment="1">
      <alignment horizontal="left" vertical="top" wrapText="1"/>
    </xf>
    <xf numFmtId="0" fontId="0" fillId="26" borderId="42" xfId="2" applyFont="1" applyBorder="1" applyAlignment="1" applyProtection="1">
      <alignment horizontal="left" vertical="top" wrapText="1"/>
    </xf>
    <xf numFmtId="0" fontId="0" fillId="26" borderId="43" xfId="2" applyFont="1" applyBorder="1" applyAlignment="1" applyProtection="1">
      <alignment horizontal="left" vertical="top"/>
    </xf>
    <xf numFmtId="0" fontId="0" fillId="26" borderId="44" xfId="2" applyFont="1" applyBorder="1" applyAlignment="1" applyProtection="1">
      <alignment horizontal="left" vertical="top"/>
    </xf>
    <xf numFmtId="0" fontId="0" fillId="26" borderId="45" xfId="2" applyFont="1" applyBorder="1" applyAlignment="1" applyProtection="1">
      <alignment horizontal="left" vertical="top"/>
    </xf>
    <xf numFmtId="0" fontId="0" fillId="26" borderId="41" xfId="2" applyFont="1" applyBorder="1" applyAlignment="1" applyProtection="1">
      <alignment horizontal="left" vertical="top"/>
    </xf>
    <xf numFmtId="0" fontId="0" fillId="26" borderId="46" xfId="2" applyFont="1" applyBorder="1" applyAlignment="1" applyProtection="1">
      <alignment horizontal="left" vertical="top"/>
    </xf>
    <xf numFmtId="0" fontId="0" fillId="26" borderId="47" xfId="2" applyFont="1" applyBorder="1" applyAlignment="1" applyProtection="1">
      <alignment horizontal="left" vertical="top"/>
    </xf>
    <xf numFmtId="0" fontId="0" fillId="26" borderId="48" xfId="2" applyFont="1" applyBorder="1" applyAlignment="1" applyProtection="1">
      <alignment horizontal="left" vertical="top"/>
    </xf>
    <xf numFmtId="0" fontId="0" fillId="26" borderId="49" xfId="2" applyFont="1" applyBorder="1" applyAlignment="1" applyProtection="1">
      <alignment horizontal="left" vertical="top"/>
    </xf>
    <xf numFmtId="0" fontId="13" fillId="11" borderId="10" xfId="0" applyFont="1" applyFill="1" applyBorder="1" applyAlignment="1" applyProtection="1">
      <alignment horizontal="center" vertical="center" wrapText="1"/>
    </xf>
    <xf numFmtId="0" fontId="13" fillId="11" borderId="14" xfId="0" applyFont="1" applyFill="1" applyBorder="1" applyAlignment="1" applyProtection="1">
      <alignment horizontal="center" vertical="center" wrapText="1"/>
    </xf>
    <xf numFmtId="0" fontId="13" fillId="11" borderId="9" xfId="0" applyFont="1" applyFill="1" applyBorder="1" applyAlignment="1" applyProtection="1">
      <alignment horizontal="center" vertical="center" wrapText="1"/>
    </xf>
    <xf numFmtId="0" fontId="13" fillId="11" borderId="30" xfId="0" applyFont="1" applyFill="1" applyBorder="1" applyAlignment="1" applyProtection="1">
      <alignment horizontal="center" vertical="center" wrapText="1"/>
    </xf>
    <xf numFmtId="0" fontId="1" fillId="11" borderId="11" xfId="0" applyFont="1" applyFill="1" applyBorder="1" applyAlignment="1" applyProtection="1">
      <alignment horizontal="center" wrapText="1"/>
    </xf>
    <xf numFmtId="0" fontId="1" fillId="11" borderId="15" xfId="0" applyFont="1" applyFill="1" applyBorder="1" applyAlignment="1" applyProtection="1">
      <alignment horizontal="center" wrapText="1"/>
    </xf>
    <xf numFmtId="0" fontId="13" fillId="11" borderId="10" xfId="0" applyFont="1" applyFill="1" applyBorder="1" applyAlignment="1" applyProtection="1">
      <alignment horizontal="center" wrapText="1" shrinkToFit="1"/>
    </xf>
    <xf numFmtId="0" fontId="13" fillId="11" borderId="14" xfId="0" applyFont="1" applyFill="1" applyBorder="1" applyAlignment="1" applyProtection="1">
      <alignment horizontal="center" wrapText="1" shrinkToFit="1"/>
    </xf>
    <xf numFmtId="0" fontId="1" fillId="11" borderId="1" xfId="0" applyFont="1" applyFill="1" applyBorder="1" applyAlignment="1" applyProtection="1">
      <alignment horizontal="center" vertical="center"/>
    </xf>
    <xf numFmtId="0" fontId="1" fillId="11" borderId="7" xfId="0" applyFont="1" applyFill="1" applyBorder="1" applyAlignment="1" applyProtection="1">
      <alignment horizontal="center" vertical="center"/>
    </xf>
    <xf numFmtId="0" fontId="1" fillId="11" borderId="28" xfId="0" applyFont="1" applyFill="1" applyBorder="1" applyAlignment="1" applyProtection="1">
      <alignment horizontal="center" vertical="center"/>
    </xf>
    <xf numFmtId="0" fontId="1" fillId="11" borderId="13" xfId="0" applyFont="1" applyFill="1" applyBorder="1" applyAlignment="1" applyProtection="1">
      <alignment horizontal="left" vertical="center"/>
    </xf>
    <xf numFmtId="0" fontId="1" fillId="11" borderId="14" xfId="0" applyFont="1" applyFill="1" applyBorder="1" applyAlignment="1" applyProtection="1">
      <alignment horizontal="left" vertical="center"/>
    </xf>
    <xf numFmtId="0" fontId="1" fillId="11" borderId="12" xfId="0" applyFont="1" applyFill="1" applyBorder="1" applyAlignment="1" applyProtection="1">
      <alignment horizontal="left" vertical="center"/>
    </xf>
    <xf numFmtId="0" fontId="1" fillId="11" borderId="4" xfId="0" applyFont="1" applyFill="1" applyBorder="1" applyAlignment="1" applyProtection="1">
      <alignment horizontal="left" vertical="center"/>
    </xf>
    <xf numFmtId="0" fontId="5" fillId="11" borderId="9" xfId="0" applyFont="1" applyFill="1" applyBorder="1" applyAlignment="1" applyProtection="1">
      <alignment horizontal="center" vertical="center"/>
    </xf>
    <xf numFmtId="0" fontId="5" fillId="11" borderId="11" xfId="0" applyFont="1" applyFill="1" applyBorder="1" applyAlignment="1" applyProtection="1">
      <alignment horizontal="center" vertical="center"/>
    </xf>
    <xf numFmtId="0" fontId="0" fillId="31" borderId="30" xfId="0" applyFill="1" applyBorder="1" applyAlignment="1" applyProtection="1">
      <alignment horizontal="center" vertical="center"/>
      <protection locked="0"/>
    </xf>
    <xf numFmtId="0" fontId="0" fillId="31" borderId="31" xfId="0" applyFill="1" applyBorder="1" applyAlignment="1" applyProtection="1">
      <alignment horizontal="center" vertical="center"/>
      <protection locked="0"/>
    </xf>
    <xf numFmtId="0" fontId="8" fillId="5" borderId="1" xfId="0" applyFont="1" applyFill="1" applyBorder="1" applyAlignment="1" applyProtection="1">
      <alignment horizontal="center"/>
    </xf>
    <xf numFmtId="0" fontId="8" fillId="5" borderId="28" xfId="0" applyFont="1" applyFill="1" applyBorder="1" applyAlignment="1" applyProtection="1">
      <alignment horizontal="center"/>
    </xf>
    <xf numFmtId="0" fontId="8" fillId="5" borderId="7" xfId="0" applyFont="1" applyFill="1" applyBorder="1" applyAlignment="1" applyProtection="1">
      <alignment horizontal="center"/>
    </xf>
    <xf numFmtId="0" fontId="8" fillId="5" borderId="29" xfId="0" applyFont="1" applyFill="1" applyBorder="1" applyAlignment="1" applyProtection="1">
      <alignment horizontal="center"/>
    </xf>
    <xf numFmtId="0" fontId="8" fillId="5" borderId="23" xfId="0" applyFont="1" applyFill="1" applyBorder="1" applyAlignment="1" applyProtection="1">
      <alignment horizontal="center"/>
    </xf>
    <xf numFmtId="0" fontId="8" fillId="5" borderId="22" xfId="0" applyFont="1" applyFill="1" applyBorder="1" applyAlignment="1" applyProtection="1">
      <alignment horizontal="center"/>
    </xf>
    <xf numFmtId="0" fontId="7" fillId="5" borderId="1" xfId="0" applyFont="1" applyFill="1" applyBorder="1" applyAlignment="1" applyProtection="1">
      <alignment horizontal="center" vertical="center"/>
    </xf>
    <xf numFmtId="0" fontId="7" fillId="5" borderId="28" xfId="0" applyFont="1" applyFill="1" applyBorder="1" applyAlignment="1" applyProtection="1">
      <alignment horizontal="center" vertical="center"/>
    </xf>
    <xf numFmtId="0" fontId="7" fillId="5" borderId="7" xfId="0" applyFont="1" applyFill="1" applyBorder="1" applyAlignment="1" applyProtection="1">
      <alignment horizontal="center" vertical="center"/>
    </xf>
    <xf numFmtId="0" fontId="7" fillId="5" borderId="29" xfId="0" applyFont="1" applyFill="1" applyBorder="1" applyAlignment="1" applyProtection="1">
      <alignment horizontal="center" vertical="center"/>
    </xf>
    <xf numFmtId="0" fontId="7" fillId="5" borderId="23" xfId="0" applyFont="1" applyFill="1" applyBorder="1" applyAlignment="1" applyProtection="1">
      <alignment horizontal="center" vertical="center"/>
    </xf>
    <xf numFmtId="0" fontId="7" fillId="5" borderId="0" xfId="0" applyFont="1" applyFill="1" applyBorder="1" applyAlignment="1" applyProtection="1">
      <alignment horizontal="center" vertical="center"/>
    </xf>
    <xf numFmtId="0" fontId="7" fillId="5" borderId="22" xfId="0" applyFont="1" applyFill="1" applyBorder="1" applyAlignment="1" applyProtection="1">
      <alignment horizontal="center" vertical="center"/>
    </xf>
    <xf numFmtId="0" fontId="1" fillId="11" borderId="18" xfId="0" applyFont="1" applyFill="1" applyBorder="1" applyAlignment="1" applyProtection="1">
      <alignment horizontal="left" vertical="center"/>
    </xf>
    <xf numFmtId="0" fontId="1" fillId="11" borderId="34" xfId="0" applyFont="1" applyFill="1" applyBorder="1" applyAlignment="1" applyProtection="1">
      <alignment horizontal="left" vertical="center"/>
    </xf>
    <xf numFmtId="0" fontId="8" fillId="5" borderId="9" xfId="0" applyFont="1" applyFill="1" applyBorder="1" applyAlignment="1" applyProtection="1">
      <alignment horizontal="center" vertical="center"/>
    </xf>
    <xf numFmtId="0" fontId="8" fillId="5" borderId="10" xfId="0" applyFont="1" applyFill="1" applyBorder="1" applyAlignment="1" applyProtection="1">
      <alignment horizontal="center" vertical="center"/>
    </xf>
    <xf numFmtId="0" fontId="8" fillId="5" borderId="11" xfId="0" applyFont="1" applyFill="1" applyBorder="1" applyAlignment="1" applyProtection="1">
      <alignment horizontal="center" vertical="center"/>
    </xf>
    <xf numFmtId="0" fontId="8" fillId="5" borderId="30" xfId="0" applyFont="1" applyFill="1" applyBorder="1" applyAlignment="1" applyProtection="1">
      <alignment horizontal="center" vertical="center"/>
    </xf>
    <xf numFmtId="0" fontId="8" fillId="5" borderId="35" xfId="0" applyFont="1" applyFill="1" applyBorder="1" applyAlignment="1" applyProtection="1">
      <alignment horizontal="center" vertical="center"/>
    </xf>
    <xf numFmtId="0" fontId="8" fillId="5" borderId="31" xfId="0" applyFont="1" applyFill="1" applyBorder="1" applyAlignment="1" applyProtection="1">
      <alignment horizontal="center" vertical="center"/>
    </xf>
    <xf numFmtId="0" fontId="14" fillId="28" borderId="8" xfId="0" applyFont="1" applyFill="1" applyBorder="1" applyAlignment="1" applyProtection="1">
      <alignment horizontal="center"/>
    </xf>
    <xf numFmtId="0" fontId="14" fillId="28" borderId="51" xfId="0" applyFont="1" applyFill="1" applyBorder="1" applyAlignment="1" applyProtection="1">
      <alignment horizontal="center"/>
    </xf>
    <xf numFmtId="0" fontId="14" fillId="28" borderId="52" xfId="0" applyFont="1" applyFill="1" applyBorder="1" applyAlignment="1" applyProtection="1">
      <alignment horizontal="center"/>
    </xf>
    <xf numFmtId="15" fontId="0" fillId="31" borderId="40" xfId="0" applyNumberFormat="1" applyFill="1" applyBorder="1" applyAlignment="1" applyProtection="1">
      <alignment horizontal="center" vertical="center"/>
    </xf>
    <xf numFmtId="15" fontId="0" fillId="31" borderId="61" xfId="0" applyNumberFormat="1" applyFill="1" applyBorder="1" applyAlignment="1" applyProtection="1">
      <alignment horizontal="center" vertical="center"/>
    </xf>
    <xf numFmtId="0" fontId="5" fillId="11" borderId="60" xfId="0" applyFont="1" applyFill="1" applyBorder="1" applyAlignment="1" applyProtection="1">
      <alignment horizontal="center" vertical="center"/>
    </xf>
    <xf numFmtId="0" fontId="5" fillId="11" borderId="19" xfId="0" applyFont="1" applyFill="1" applyBorder="1" applyAlignment="1" applyProtection="1">
      <alignment horizontal="center" vertical="center"/>
    </xf>
    <xf numFmtId="0" fontId="1" fillId="27" borderId="16" xfId="0" applyFont="1" applyFill="1" applyBorder="1" applyAlignment="1" applyProtection="1">
      <alignment horizontal="center" vertical="center"/>
    </xf>
    <xf numFmtId="0" fontId="1" fillId="27" borderId="17" xfId="0" applyFont="1" applyFill="1" applyBorder="1" applyAlignment="1" applyProtection="1">
      <alignment horizontal="center" vertical="center"/>
    </xf>
    <xf numFmtId="0" fontId="1" fillId="27" borderId="50" xfId="0" applyFont="1" applyFill="1" applyBorder="1" applyAlignment="1" applyProtection="1">
      <alignment horizontal="center" vertical="center"/>
    </xf>
    <xf numFmtId="22" fontId="0" fillId="0" borderId="16" xfId="0" applyNumberFormat="1" applyBorder="1" applyAlignment="1" applyProtection="1">
      <alignment horizontal="center"/>
    </xf>
    <xf numFmtId="22" fontId="0" fillId="0" borderId="50" xfId="0" applyNumberFormat="1" applyBorder="1" applyAlignment="1" applyProtection="1">
      <alignment horizontal="center"/>
    </xf>
    <xf numFmtId="0" fontId="14" fillId="3" borderId="16" xfId="0" applyFont="1" applyFill="1" applyBorder="1" applyAlignment="1" applyProtection="1">
      <alignment horizontal="center" vertical="center"/>
    </xf>
    <xf numFmtId="0" fontId="14" fillId="3" borderId="17" xfId="0" applyFont="1" applyFill="1" applyBorder="1" applyAlignment="1" applyProtection="1">
      <alignment horizontal="center" vertical="center"/>
    </xf>
    <xf numFmtId="0" fontId="14" fillId="3" borderId="50" xfId="0" applyFont="1" applyFill="1" applyBorder="1" applyAlignment="1" applyProtection="1">
      <alignment horizontal="center" vertical="center"/>
    </xf>
    <xf numFmtId="0" fontId="14" fillId="7" borderId="18" xfId="0" applyFont="1" applyFill="1" applyBorder="1" applyAlignment="1" applyProtection="1">
      <alignment horizontal="left" vertical="center" wrapText="1"/>
    </xf>
    <xf numFmtId="0" fontId="14" fillId="7" borderId="34" xfId="0" applyFont="1" applyFill="1" applyBorder="1" applyAlignment="1" applyProtection="1">
      <alignment horizontal="left" vertical="center" wrapText="1"/>
    </xf>
    <xf numFmtId="0" fontId="14" fillId="7" borderId="37" xfId="0" applyFont="1" applyFill="1" applyBorder="1" applyAlignment="1" applyProtection="1">
      <alignment horizontal="left" vertical="center" wrapText="1"/>
    </xf>
    <xf numFmtId="0" fontId="14" fillId="7" borderId="12" xfId="0" applyFont="1" applyFill="1" applyBorder="1" applyAlignment="1" applyProtection="1">
      <alignment horizontal="left" vertical="center" wrapText="1"/>
    </xf>
    <xf numFmtId="0" fontId="14" fillId="7" borderId="4" xfId="0" applyFont="1" applyFill="1" applyBorder="1" applyAlignment="1" applyProtection="1">
      <alignment horizontal="left" vertical="center" wrapText="1"/>
    </xf>
    <xf numFmtId="0" fontId="14" fillId="7" borderId="5" xfId="0" applyFont="1" applyFill="1" applyBorder="1" applyAlignment="1" applyProtection="1">
      <alignment horizontal="left" vertical="center" wrapText="1"/>
    </xf>
    <xf numFmtId="0" fontId="14" fillId="7" borderId="30" xfId="0" applyFont="1" applyFill="1" applyBorder="1" applyAlignment="1" applyProtection="1">
      <alignment horizontal="left" vertical="center" wrapText="1"/>
    </xf>
    <xf numFmtId="0" fontId="14" fillId="7" borderId="35" xfId="0" applyFont="1" applyFill="1" applyBorder="1" applyAlignment="1" applyProtection="1">
      <alignment horizontal="left" vertical="center" wrapText="1"/>
    </xf>
    <xf numFmtId="0" fontId="14" fillId="7" borderId="31" xfId="0" applyFont="1" applyFill="1" applyBorder="1" applyAlignment="1" applyProtection="1">
      <alignment horizontal="left" vertical="center" wrapText="1"/>
    </xf>
    <xf numFmtId="0" fontId="21" fillId="33" borderId="1" xfId="0" applyFont="1" applyFill="1" applyBorder="1" applyAlignment="1" applyProtection="1">
      <alignment horizontal="center" vertical="center"/>
    </xf>
    <xf numFmtId="0" fontId="21" fillId="33" borderId="28" xfId="0" applyFont="1" applyFill="1" applyBorder="1" applyAlignment="1" applyProtection="1">
      <alignment horizontal="center" vertical="center"/>
    </xf>
    <xf numFmtId="0" fontId="21" fillId="33" borderId="7" xfId="0" applyFont="1" applyFill="1" applyBorder="1" applyAlignment="1" applyProtection="1">
      <alignment horizontal="center" vertical="center"/>
    </xf>
    <xf numFmtId="49" fontId="0" fillId="33" borderId="66" xfId="0" applyNumberFormat="1" applyFill="1" applyBorder="1" applyAlignment="1" applyProtection="1">
      <alignment horizontal="left" vertical="top" wrapText="1"/>
      <protection locked="0"/>
    </xf>
    <xf numFmtId="49" fontId="0" fillId="33" borderId="0" xfId="0" applyNumberFormat="1" applyFill="1" applyBorder="1" applyAlignment="1" applyProtection="1">
      <alignment horizontal="left" vertical="top" wrapText="1"/>
      <protection locked="0"/>
    </xf>
    <xf numFmtId="49" fontId="0" fillId="33" borderId="67" xfId="0" applyNumberFormat="1" applyFill="1" applyBorder="1" applyAlignment="1" applyProtection="1">
      <alignment horizontal="left" vertical="top" wrapText="1"/>
      <protection locked="0"/>
    </xf>
    <xf numFmtId="49" fontId="0" fillId="33" borderId="29" xfId="0" applyNumberFormat="1" applyFill="1" applyBorder="1" applyAlignment="1" applyProtection="1">
      <alignment horizontal="left" vertical="top" wrapText="1"/>
      <protection locked="0"/>
    </xf>
    <xf numFmtId="49" fontId="0" fillId="33" borderId="23" xfId="0" applyNumberFormat="1" applyFill="1" applyBorder="1" applyAlignment="1" applyProtection="1">
      <alignment horizontal="left" vertical="top" wrapText="1"/>
      <protection locked="0"/>
    </xf>
    <xf numFmtId="49" fontId="0" fillId="33" borderId="22" xfId="0" applyNumberFormat="1" applyFill="1" applyBorder="1" applyAlignment="1" applyProtection="1">
      <alignment horizontal="left" vertical="top" wrapText="1"/>
      <protection locked="0"/>
    </xf>
    <xf numFmtId="49" fontId="0" fillId="22" borderId="30" xfId="0" applyNumberFormat="1" applyFill="1" applyBorder="1" applyAlignment="1" applyProtection="1">
      <alignment horizontal="left" vertical="center"/>
      <protection locked="0"/>
    </xf>
    <xf numFmtId="49" fontId="0" fillId="22" borderId="31" xfId="0" applyNumberFormat="1" applyFill="1" applyBorder="1" applyAlignment="1" applyProtection="1">
      <alignment horizontal="left" vertical="center"/>
      <protection locked="0"/>
    </xf>
    <xf numFmtId="49" fontId="0" fillId="22" borderId="12" xfId="0" applyNumberFormat="1" applyFill="1" applyBorder="1" applyAlignment="1" applyProtection="1">
      <alignment horizontal="left" vertical="center"/>
      <protection locked="0"/>
    </xf>
    <xf numFmtId="49" fontId="0" fillId="22" borderId="5" xfId="0" applyNumberFormat="1" applyFill="1" applyBorder="1" applyAlignment="1" applyProtection="1">
      <alignment horizontal="left" vertical="center"/>
      <protection locked="0"/>
    </xf>
    <xf numFmtId="49" fontId="0" fillId="22" borderId="9" xfId="0" applyNumberFormat="1" applyFill="1" applyBorder="1" applyAlignment="1" applyProtection="1">
      <alignment horizontal="left" vertical="center"/>
      <protection locked="0"/>
    </xf>
    <xf numFmtId="49" fontId="0" fillId="22" borderId="11" xfId="0" applyNumberFormat="1" applyFill="1" applyBorder="1" applyAlignment="1" applyProtection="1">
      <alignment horizontal="left" vertical="center"/>
      <protection locked="0"/>
    </xf>
    <xf numFmtId="0" fontId="1" fillId="36" borderId="8" xfId="0" applyFont="1" applyFill="1" applyBorder="1" applyAlignment="1" applyProtection="1">
      <alignment horizontal="center"/>
    </xf>
    <xf numFmtId="0" fontId="1" fillId="36" borderId="51" xfId="0" applyFont="1" applyFill="1" applyBorder="1" applyAlignment="1" applyProtection="1">
      <alignment horizontal="center"/>
    </xf>
    <xf numFmtId="0" fontId="1" fillId="36" borderId="52" xfId="0" applyFont="1" applyFill="1" applyBorder="1" applyAlignment="1" applyProtection="1">
      <alignment horizontal="center"/>
    </xf>
    <xf numFmtId="0" fontId="1" fillId="36" borderId="8" xfId="0" applyFont="1" applyFill="1" applyBorder="1" applyAlignment="1" applyProtection="1">
      <alignment horizontal="center" vertical="center"/>
    </xf>
    <xf numFmtId="0" fontId="1" fillId="36" borderId="51" xfId="0" applyFont="1" applyFill="1" applyBorder="1" applyAlignment="1" applyProtection="1">
      <alignment horizontal="center" vertical="center"/>
    </xf>
    <xf numFmtId="0" fontId="1" fillId="36" borderId="52" xfId="0" applyFont="1" applyFill="1" applyBorder="1" applyAlignment="1" applyProtection="1">
      <alignment horizontal="center" vertical="center"/>
    </xf>
  </cellXfs>
  <cellStyles count="4">
    <cellStyle name="Hyperlink" xfId="3" builtinId="8"/>
    <cellStyle name="Normal" xfId="0" builtinId="0"/>
    <cellStyle name="Note" xfId="2" builtinId="10"/>
    <cellStyle name="Percent" xfId="1" builtinId="5"/>
  </cellStyles>
  <dxfs count="21">
    <dxf>
      <font>
        <color rgb="FF00B050"/>
      </font>
    </dxf>
    <dxf>
      <font>
        <color rgb="FFC00000"/>
      </font>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0000"/>
        </patternFill>
      </fill>
    </dxf>
    <dxf>
      <fill>
        <patternFill>
          <bgColor rgb="FF33CC33"/>
        </patternFill>
      </fill>
    </dxf>
    <dxf>
      <fill>
        <patternFill>
          <bgColor rgb="FFFFC000"/>
        </patternFill>
      </fill>
    </dxf>
    <dxf>
      <fill>
        <patternFill>
          <bgColor rgb="FFFFC000"/>
        </patternFill>
      </fill>
    </dxf>
    <dxf>
      <fill>
        <patternFill>
          <bgColor rgb="FFFFC000"/>
        </patternFill>
      </fill>
    </dxf>
    <dxf>
      <font>
        <color rgb="FFFF0000"/>
      </font>
    </dxf>
    <dxf>
      <font>
        <color rgb="FF0000FF"/>
      </font>
    </dxf>
    <dxf>
      <font>
        <color rgb="FF00B050"/>
      </font>
    </dxf>
    <dxf>
      <font>
        <color auto="1"/>
      </font>
    </dxf>
    <dxf>
      <font>
        <color rgb="FFFF0000"/>
      </font>
    </dxf>
    <dxf>
      <font>
        <color rgb="FF0000FF"/>
      </font>
    </dxf>
    <dxf>
      <font>
        <color rgb="FFFF0000"/>
      </font>
    </dxf>
    <dxf>
      <font>
        <color rgb="FF0000FF"/>
      </font>
    </dxf>
    <dxf>
      <font>
        <color rgb="FFFF0000"/>
      </font>
    </dxf>
    <dxf>
      <font>
        <color rgb="FF0000FF"/>
      </font>
    </dxf>
  </dxfs>
  <tableStyles count="0" defaultTableStyle="TableStyleMedium2" defaultPivotStyle="PivotStyleLight16"/>
  <colors>
    <mruColors>
      <color rgb="FF33CC33"/>
      <color rgb="FFD9D9D9"/>
      <color rgb="FF0000FF"/>
      <color rgb="FFFF5A5A"/>
      <color rgb="FFA86ED4"/>
      <color rgb="FFACB9CA"/>
      <color rgb="FF595959"/>
      <color rgb="FFC6E0B4"/>
      <color rgb="FFFFE699"/>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10</xdr:col>
      <xdr:colOff>47625</xdr:colOff>
      <xdr:row>1</xdr:row>
      <xdr:rowOff>19050</xdr:rowOff>
    </xdr:from>
    <xdr:to>
      <xdr:col>17</xdr:col>
      <xdr:colOff>391168</xdr:colOff>
      <xdr:row>2</xdr:row>
      <xdr:rowOff>152445</xdr:rowOff>
    </xdr:to>
    <xdr:pic>
      <xdr:nvPicPr>
        <xdr:cNvPr id="9" name="Picture 8">
          <a:extLst>
            <a:ext uri="{FF2B5EF4-FFF2-40B4-BE49-F238E27FC236}">
              <a16:creationId xmlns="" xmlns:a16="http://schemas.microsoft.com/office/drawing/2014/main" id="{00000000-0008-0000-00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43625" y="209550"/>
          <a:ext cx="4610743" cy="323895"/>
        </a:xfrm>
        <a:prstGeom prst="rect">
          <a:avLst/>
        </a:prstGeom>
      </xdr:spPr>
    </xdr:pic>
    <xdr:clientData/>
  </xdr:twoCellAnchor>
  <xdr:oneCellAnchor>
    <xdr:from>
      <xdr:col>10</xdr:col>
      <xdr:colOff>47625</xdr:colOff>
      <xdr:row>8</xdr:row>
      <xdr:rowOff>57150</xdr:rowOff>
    </xdr:from>
    <xdr:ext cx="2629267" cy="3839111"/>
    <xdr:pic>
      <xdr:nvPicPr>
        <xdr:cNvPr id="10" name="Picture 9">
          <a:extLst>
            <a:ext uri="{FF2B5EF4-FFF2-40B4-BE49-F238E27FC236}">
              <a16:creationId xmlns="" xmlns:a16="http://schemas.microsoft.com/office/drawing/2014/main" id="{00000000-0008-0000-0000-00000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143625" y="1581150"/>
          <a:ext cx="2629267" cy="3839111"/>
        </a:xfrm>
        <a:prstGeom prst="rect">
          <a:avLst/>
        </a:prstGeom>
      </xdr:spPr>
    </xdr:pic>
    <xdr:clientData/>
  </xdr:oneCellAnchor>
  <xdr:oneCellAnchor>
    <xdr:from>
      <xdr:col>15</xdr:col>
      <xdr:colOff>57150</xdr:colOff>
      <xdr:row>8</xdr:row>
      <xdr:rowOff>47625</xdr:rowOff>
    </xdr:from>
    <xdr:ext cx="3438095" cy="1438095"/>
    <xdr:pic>
      <xdr:nvPicPr>
        <xdr:cNvPr id="11" name="Picture 10">
          <a:extLst>
            <a:ext uri="{FF2B5EF4-FFF2-40B4-BE49-F238E27FC236}">
              <a16:creationId xmlns="" xmlns:a16="http://schemas.microsoft.com/office/drawing/2014/main" id="{00000000-0008-0000-00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201150" y="1571625"/>
          <a:ext cx="3438095" cy="1438095"/>
        </a:xfrm>
        <a:prstGeom prst="rect">
          <a:avLst/>
        </a:prstGeom>
      </xdr:spPr>
    </xdr:pic>
    <xdr:clientData/>
  </xdr:oneCellAnchor>
  <xdr:twoCellAnchor editAs="oneCell">
    <xdr:from>
      <xdr:col>10</xdr:col>
      <xdr:colOff>47625</xdr:colOff>
      <xdr:row>4</xdr:row>
      <xdr:rowOff>38100</xdr:rowOff>
    </xdr:from>
    <xdr:to>
      <xdr:col>20</xdr:col>
      <xdr:colOff>439055</xdr:colOff>
      <xdr:row>6</xdr:row>
      <xdr:rowOff>38153</xdr:rowOff>
    </xdr:to>
    <xdr:pic>
      <xdr:nvPicPr>
        <xdr:cNvPr id="12" name="Picture 11">
          <a:extLst>
            <a:ext uri="{FF2B5EF4-FFF2-40B4-BE49-F238E27FC236}">
              <a16:creationId xmlns="" xmlns:a16="http://schemas.microsoft.com/office/drawing/2014/main" id="{00000000-0008-0000-0000-00000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3625" y="800100"/>
          <a:ext cx="6487430" cy="38105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76200</xdr:rowOff>
        </xdr:from>
        <xdr:to>
          <xdr:col>19</xdr:col>
          <xdr:colOff>390525</xdr:colOff>
          <xdr:row>2</xdr:row>
          <xdr:rowOff>104775</xdr:rowOff>
        </xdr:to>
        <xdr:sp macro="" textlink="">
          <xdr:nvSpPr>
            <xdr:cNvPr id="6148" name="Button_PrepForDuty" descr="Filter AB Roster for Duty" hidden="1">
              <a:extLst>
                <a:ext uri="{63B3BB69-23CF-44E3-9099-C40C66FF867C}">
                  <a14:compatExt spid="_x0000_s6148"/>
                </a:ext>
                <a:ext uri="{FF2B5EF4-FFF2-40B4-BE49-F238E27FC236}">
                  <a16:creationId xmlns="" xmlns:a16="http://schemas.microsoft.com/office/drawing/2014/main" id="{00000000-0008-0000-01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Apply Duty Availability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333375</xdr:colOff>
          <xdr:row>0</xdr:row>
          <xdr:rowOff>76200</xdr:rowOff>
        </xdr:from>
        <xdr:to>
          <xdr:col>11</xdr:col>
          <xdr:colOff>400050</xdr:colOff>
          <xdr:row>2</xdr:row>
          <xdr:rowOff>104775</xdr:rowOff>
        </xdr:to>
        <xdr:sp macro="" textlink="">
          <xdr:nvSpPr>
            <xdr:cNvPr id="6149" name="Button_CustomFilter" hidden="1">
              <a:extLst>
                <a:ext uri="{63B3BB69-23CF-44E3-9099-C40C66FF867C}">
                  <a14:compatExt spid="_x0000_s6149"/>
                </a:ext>
                <a:ext uri="{FF2B5EF4-FFF2-40B4-BE49-F238E27FC236}">
                  <a16:creationId xmlns=""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Medical Exemption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495300</xdr:colOff>
          <xdr:row>0</xdr:row>
          <xdr:rowOff>76200</xdr:rowOff>
        </xdr:from>
        <xdr:to>
          <xdr:col>17</xdr:col>
          <xdr:colOff>47625</xdr:colOff>
          <xdr:row>2</xdr:row>
          <xdr:rowOff>104775</xdr:rowOff>
        </xdr:to>
        <xdr:sp macro="" textlink="">
          <xdr:nvSpPr>
            <xdr:cNvPr id="6177" name="Button 33" hidden="1">
              <a:extLst>
                <a:ext uri="{63B3BB69-23CF-44E3-9099-C40C66FF867C}">
                  <a14:compatExt spid="_x0000_s6177"/>
                </a:ext>
                <a:ext uri="{FF2B5EF4-FFF2-40B4-BE49-F238E27FC236}">
                  <a16:creationId xmlns="" xmlns:a16="http://schemas.microsoft.com/office/drawing/2014/main" id="{00000000-0008-0000-0100-00002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Morning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152400</xdr:colOff>
          <xdr:row>0</xdr:row>
          <xdr:rowOff>76200</xdr:rowOff>
        </xdr:from>
        <xdr:to>
          <xdr:col>22</xdr:col>
          <xdr:colOff>190500</xdr:colOff>
          <xdr:row>2</xdr:row>
          <xdr:rowOff>104775</xdr:rowOff>
        </xdr:to>
        <xdr:sp macro="" textlink="">
          <xdr:nvSpPr>
            <xdr:cNvPr id="6181" name="Button 37" hidden="1">
              <a:extLst>
                <a:ext uri="{63B3BB69-23CF-44E3-9099-C40C66FF867C}">
                  <a14:compatExt spid="_x0000_s6181"/>
                </a:ext>
                <a:ext uri="{FF2B5EF4-FFF2-40B4-BE49-F238E27FC236}">
                  <a16:creationId xmlns=""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Clear Available Body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66675</xdr:colOff>
          <xdr:row>18</xdr:row>
          <xdr:rowOff>66675</xdr:rowOff>
        </xdr:from>
        <xdr:to>
          <xdr:col>31</xdr:col>
          <xdr:colOff>133350</xdr:colOff>
          <xdr:row>20</xdr:row>
          <xdr:rowOff>95250</xdr:rowOff>
        </xdr:to>
        <xdr:sp macro="" textlink="">
          <xdr:nvSpPr>
            <xdr:cNvPr id="6183" name="Button 39" hidden="1">
              <a:extLst>
                <a:ext uri="{63B3BB69-23CF-44E3-9099-C40C66FF867C}">
                  <a14:compatExt spid="_x0000_s6183"/>
                </a:ext>
                <a:ext uri="{FF2B5EF4-FFF2-40B4-BE49-F238E27FC236}">
                  <a16:creationId xmlns="" xmlns:a16="http://schemas.microsoft.com/office/drawing/2014/main" id="{00000000-0008-0000-0100-000027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Copy Rec. Duty Allocations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381000</xdr:colOff>
          <xdr:row>18</xdr:row>
          <xdr:rowOff>66675</xdr:rowOff>
        </xdr:from>
        <xdr:to>
          <xdr:col>33</xdr:col>
          <xdr:colOff>447675</xdr:colOff>
          <xdr:row>20</xdr:row>
          <xdr:rowOff>95250</xdr:rowOff>
        </xdr:to>
        <xdr:sp macro="" textlink="">
          <xdr:nvSpPr>
            <xdr:cNvPr id="6184" name="Button 40" hidden="1">
              <a:extLst>
                <a:ext uri="{63B3BB69-23CF-44E3-9099-C40C66FF867C}">
                  <a14:compatExt spid="_x0000_s6184"/>
                </a:ext>
                <a:ext uri="{FF2B5EF4-FFF2-40B4-BE49-F238E27FC236}">
                  <a16:creationId xmlns="" xmlns:a16="http://schemas.microsoft.com/office/drawing/2014/main" id="{00000000-0008-0000-0100-000028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Duty Roster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0</xdr:row>
          <xdr:rowOff>76200</xdr:rowOff>
        </xdr:from>
        <xdr:to>
          <xdr:col>14</xdr:col>
          <xdr:colOff>219075</xdr:colOff>
          <xdr:row>2</xdr:row>
          <xdr:rowOff>104775</xdr:rowOff>
        </xdr:to>
        <xdr:sp macro="" textlink="">
          <xdr:nvSpPr>
            <xdr:cNvPr id="6187" name="Button 43" hidden="1">
              <a:extLst>
                <a:ext uri="{63B3BB69-23CF-44E3-9099-C40C66FF867C}">
                  <a14:compatExt spid="_x0000_s6187"/>
                </a:ext>
                <a:ext uri="{FF2B5EF4-FFF2-40B4-BE49-F238E27FC236}">
                  <a16:creationId xmlns="" xmlns:a16="http://schemas.microsoft.com/office/drawing/2014/main" id="{00000000-0008-0000-0100-00002B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Import Battalion Non-Availability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76200</xdr:colOff>
          <xdr:row>21</xdr:row>
          <xdr:rowOff>19050</xdr:rowOff>
        </xdr:from>
        <xdr:to>
          <xdr:col>31</xdr:col>
          <xdr:colOff>142875</xdr:colOff>
          <xdr:row>24</xdr:row>
          <xdr:rowOff>19050</xdr:rowOff>
        </xdr:to>
        <xdr:sp macro="" textlink="">
          <xdr:nvSpPr>
            <xdr:cNvPr id="6189" name="Button 45" hidden="1">
              <a:extLst>
                <a:ext uri="{63B3BB69-23CF-44E3-9099-C40C66FF867C}">
                  <a14:compatExt spid="_x0000_s6189"/>
                </a:ext>
                <a:ext uri="{FF2B5EF4-FFF2-40B4-BE49-F238E27FC236}">
                  <a16:creationId xmlns="" xmlns:a16="http://schemas.microsoft.com/office/drawing/2014/main" id="{00000000-0008-0000-0100-00002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Company Non-Availability Rosters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390525</xdr:colOff>
          <xdr:row>21</xdr:row>
          <xdr:rowOff>19050</xdr:rowOff>
        </xdr:from>
        <xdr:to>
          <xdr:col>33</xdr:col>
          <xdr:colOff>457200</xdr:colOff>
          <xdr:row>24</xdr:row>
          <xdr:rowOff>19050</xdr:rowOff>
        </xdr:to>
        <xdr:sp macro="" textlink="">
          <xdr:nvSpPr>
            <xdr:cNvPr id="6190" name="Button 46" hidden="1">
              <a:extLst>
                <a:ext uri="{63B3BB69-23CF-44E3-9099-C40C66FF867C}">
                  <a14:compatExt spid="_x0000_s6190"/>
                </a:ext>
                <a:ext uri="{FF2B5EF4-FFF2-40B4-BE49-F238E27FC236}">
                  <a16:creationId xmlns=""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Create Battalion Non-Availability Roster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8</xdr:row>
          <xdr:rowOff>57150</xdr:rowOff>
        </xdr:from>
        <xdr:to>
          <xdr:col>1</xdr:col>
          <xdr:colOff>876300</xdr:colOff>
          <xdr:row>12</xdr:row>
          <xdr:rowOff>133350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Drop Down lists in Company Non-Availability Roster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619125</xdr:colOff>
          <xdr:row>6</xdr:row>
          <xdr:rowOff>0</xdr:rowOff>
        </xdr:from>
        <xdr:to>
          <xdr:col>6</xdr:col>
          <xdr:colOff>409575</xdr:colOff>
          <xdr:row>8</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Password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247650</xdr:colOff>
          <xdr:row>0</xdr:row>
          <xdr:rowOff>371475</xdr:rowOff>
        </xdr:to>
        <xdr:sp macro="" textlink="">
          <xdr:nvSpPr>
            <xdr:cNvPr id="8195" name="ExtDevMd"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Exit DevMode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jeffreysda@gmail.com" TargetMode="External"/><Relationship Id="rId1" Type="http://schemas.openxmlformats.org/officeDocument/2006/relationships/hyperlink" Target="https://github.com/JeffreysDA"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
  <dimension ref="A1:U35"/>
  <sheetViews>
    <sheetView tabSelected="1" workbookViewId="0">
      <selection sqref="A1:XFD1048576"/>
    </sheetView>
  </sheetViews>
  <sheetFormatPr defaultRowHeight="15" x14ac:dyDescent="0.25"/>
  <cols>
    <col min="1" max="9" width="9.140625" style="90"/>
    <col min="10" max="16384" width="9.140625" style="81"/>
  </cols>
  <sheetData>
    <row r="1" spans="1:21" ht="15" customHeight="1" x14ac:dyDescent="0.25">
      <c r="A1" s="195" t="s">
        <v>83</v>
      </c>
      <c r="B1" s="196"/>
      <c r="C1" s="196"/>
      <c r="D1" s="196"/>
      <c r="E1" s="196"/>
      <c r="F1" s="196"/>
      <c r="G1" s="196"/>
      <c r="H1" s="196"/>
      <c r="I1" s="197"/>
      <c r="K1" s="82" t="s">
        <v>55</v>
      </c>
      <c r="L1" s="83"/>
      <c r="M1" s="83"/>
      <c r="N1" s="83"/>
      <c r="O1" s="83"/>
      <c r="P1" s="83"/>
      <c r="Q1" s="83"/>
      <c r="R1" s="84"/>
    </row>
    <row r="2" spans="1:21" x14ac:dyDescent="0.25">
      <c r="A2" s="198"/>
      <c r="B2" s="199"/>
      <c r="C2" s="199"/>
      <c r="D2" s="199"/>
      <c r="E2" s="199"/>
      <c r="F2" s="199"/>
      <c r="G2" s="199"/>
      <c r="H2" s="199"/>
      <c r="I2" s="200"/>
      <c r="K2" s="85"/>
      <c r="R2" s="86"/>
    </row>
    <row r="3" spans="1:21" x14ac:dyDescent="0.25">
      <c r="A3" s="198"/>
      <c r="B3" s="199"/>
      <c r="C3" s="199"/>
      <c r="D3" s="199"/>
      <c r="E3" s="199"/>
      <c r="F3" s="199"/>
      <c r="G3" s="199"/>
      <c r="H3" s="199"/>
      <c r="I3" s="200"/>
      <c r="K3" s="85"/>
      <c r="R3" s="86"/>
    </row>
    <row r="4" spans="1:21" x14ac:dyDescent="0.25">
      <c r="A4" s="198"/>
      <c r="B4" s="199"/>
      <c r="C4" s="199"/>
      <c r="D4" s="199"/>
      <c r="E4" s="199"/>
      <c r="F4" s="199"/>
      <c r="G4" s="199"/>
      <c r="H4" s="199"/>
      <c r="I4" s="200"/>
      <c r="K4" s="82" t="s">
        <v>56</v>
      </c>
      <c r="L4" s="83"/>
      <c r="M4" s="83"/>
      <c r="N4" s="83"/>
      <c r="O4" s="83"/>
      <c r="P4" s="91"/>
      <c r="Q4" s="83"/>
      <c r="R4" s="83"/>
      <c r="S4" s="83"/>
      <c r="T4" s="83"/>
      <c r="U4" s="84"/>
    </row>
    <row r="5" spans="1:21" x14ac:dyDescent="0.25">
      <c r="A5" s="198"/>
      <c r="B5" s="199"/>
      <c r="C5" s="199"/>
      <c r="D5" s="199"/>
      <c r="E5" s="199"/>
      <c r="F5" s="199"/>
      <c r="G5" s="199"/>
      <c r="H5" s="199"/>
      <c r="I5" s="200"/>
      <c r="K5" s="85"/>
      <c r="U5" s="86"/>
    </row>
    <row r="6" spans="1:21" x14ac:dyDescent="0.25">
      <c r="A6" s="198"/>
      <c r="B6" s="199"/>
      <c r="C6" s="199"/>
      <c r="D6" s="199"/>
      <c r="E6" s="199"/>
      <c r="F6" s="199"/>
      <c r="G6" s="199"/>
      <c r="H6" s="199"/>
      <c r="I6" s="200"/>
      <c r="K6" s="85"/>
      <c r="U6" s="86"/>
    </row>
    <row r="7" spans="1:21" x14ac:dyDescent="0.25">
      <c r="A7" s="198"/>
      <c r="B7" s="199"/>
      <c r="C7" s="199"/>
      <c r="D7" s="199"/>
      <c r="E7" s="199"/>
      <c r="F7" s="199"/>
      <c r="G7" s="199"/>
      <c r="H7" s="199"/>
      <c r="I7" s="200"/>
      <c r="K7" s="87"/>
      <c r="L7" s="88"/>
      <c r="M7" s="88"/>
      <c r="N7" s="88"/>
      <c r="O7" s="88"/>
      <c r="P7" s="88"/>
      <c r="Q7" s="88"/>
      <c r="R7" s="88"/>
      <c r="S7" s="88"/>
      <c r="T7" s="88"/>
      <c r="U7" s="89"/>
    </row>
    <row r="8" spans="1:21" x14ac:dyDescent="0.25">
      <c r="A8" s="198"/>
      <c r="B8" s="199"/>
      <c r="C8" s="199"/>
      <c r="D8" s="199"/>
      <c r="E8" s="199"/>
      <c r="F8" s="199"/>
      <c r="G8" s="199"/>
      <c r="H8" s="199"/>
      <c r="I8" s="200"/>
      <c r="K8" s="82" t="s">
        <v>57</v>
      </c>
      <c r="L8" s="83"/>
      <c r="M8" s="83"/>
      <c r="N8" s="83"/>
      <c r="O8" s="84"/>
      <c r="P8" s="82" t="s">
        <v>65</v>
      </c>
      <c r="Q8" s="83"/>
      <c r="R8" s="83"/>
      <c r="S8" s="83"/>
      <c r="T8" s="83"/>
      <c r="U8" s="84"/>
    </row>
    <row r="9" spans="1:21" x14ac:dyDescent="0.25">
      <c r="A9" s="198"/>
      <c r="B9" s="199"/>
      <c r="C9" s="199"/>
      <c r="D9" s="199"/>
      <c r="E9" s="199"/>
      <c r="F9" s="199"/>
      <c r="G9" s="199"/>
      <c r="H9" s="199"/>
      <c r="I9" s="200"/>
      <c r="K9" s="85"/>
      <c r="O9" s="86"/>
      <c r="P9" s="85"/>
      <c r="U9" s="86"/>
    </row>
    <row r="10" spans="1:21" x14ac:dyDescent="0.25">
      <c r="A10" s="198"/>
      <c r="B10" s="199"/>
      <c r="C10" s="199"/>
      <c r="D10" s="199"/>
      <c r="E10" s="199"/>
      <c r="F10" s="199"/>
      <c r="G10" s="199"/>
      <c r="H10" s="199"/>
      <c r="I10" s="200"/>
      <c r="K10" s="85"/>
      <c r="O10" s="86"/>
      <c r="P10" s="85"/>
      <c r="U10" s="86"/>
    </row>
    <row r="11" spans="1:21" x14ac:dyDescent="0.25">
      <c r="A11" s="198"/>
      <c r="B11" s="199"/>
      <c r="C11" s="199"/>
      <c r="D11" s="199"/>
      <c r="E11" s="199"/>
      <c r="F11" s="199"/>
      <c r="G11" s="199"/>
      <c r="H11" s="199"/>
      <c r="I11" s="200"/>
      <c r="K11" s="85"/>
      <c r="O11" s="86"/>
      <c r="P11" s="85"/>
      <c r="U11" s="86"/>
    </row>
    <row r="12" spans="1:21" x14ac:dyDescent="0.25">
      <c r="A12" s="198"/>
      <c r="B12" s="199"/>
      <c r="C12" s="199"/>
      <c r="D12" s="199"/>
      <c r="E12" s="199"/>
      <c r="F12" s="199"/>
      <c r="G12" s="199"/>
      <c r="H12" s="199"/>
      <c r="I12" s="200"/>
      <c r="K12" s="85"/>
      <c r="O12" s="86"/>
      <c r="P12" s="85"/>
      <c r="U12" s="86"/>
    </row>
    <row r="13" spans="1:21" x14ac:dyDescent="0.25">
      <c r="A13" s="198"/>
      <c r="B13" s="199"/>
      <c r="C13" s="199"/>
      <c r="D13" s="199"/>
      <c r="E13" s="199"/>
      <c r="F13" s="199"/>
      <c r="G13" s="199"/>
      <c r="H13" s="199"/>
      <c r="I13" s="200"/>
      <c r="K13" s="85"/>
      <c r="O13" s="86"/>
      <c r="P13" s="85"/>
      <c r="U13" s="86"/>
    </row>
    <row r="14" spans="1:21" x14ac:dyDescent="0.25">
      <c r="A14" s="198"/>
      <c r="B14" s="199"/>
      <c r="C14" s="199"/>
      <c r="D14" s="199"/>
      <c r="E14" s="199"/>
      <c r="F14" s="199"/>
      <c r="G14" s="199"/>
      <c r="H14" s="199"/>
      <c r="I14" s="200"/>
      <c r="K14" s="85"/>
      <c r="O14" s="86"/>
      <c r="P14" s="85"/>
      <c r="U14" s="86"/>
    </row>
    <row r="15" spans="1:21" x14ac:dyDescent="0.25">
      <c r="A15" s="198"/>
      <c r="B15" s="199"/>
      <c r="C15" s="199"/>
      <c r="D15" s="199"/>
      <c r="E15" s="199"/>
      <c r="F15" s="199"/>
      <c r="G15" s="199"/>
      <c r="H15" s="199"/>
      <c r="I15" s="200"/>
      <c r="K15" s="85"/>
      <c r="O15" s="86"/>
      <c r="P15" s="85"/>
      <c r="U15" s="86"/>
    </row>
    <row r="16" spans="1:21" x14ac:dyDescent="0.25">
      <c r="A16" s="198"/>
      <c r="B16" s="199"/>
      <c r="C16" s="199"/>
      <c r="D16" s="199"/>
      <c r="E16" s="199"/>
      <c r="F16" s="199"/>
      <c r="G16" s="199"/>
      <c r="H16" s="199"/>
      <c r="I16" s="200"/>
      <c r="K16" s="85"/>
      <c r="O16" s="86"/>
      <c r="P16" s="85"/>
      <c r="U16" s="86"/>
    </row>
    <row r="17" spans="1:21" x14ac:dyDescent="0.25">
      <c r="A17" s="198"/>
      <c r="B17" s="199"/>
      <c r="C17" s="199"/>
      <c r="D17" s="199"/>
      <c r="E17" s="199"/>
      <c r="F17" s="199"/>
      <c r="G17" s="199"/>
      <c r="H17" s="199"/>
      <c r="I17" s="200"/>
      <c r="K17" s="85"/>
      <c r="O17" s="86"/>
      <c r="P17" s="87"/>
      <c r="Q17" s="88"/>
      <c r="R17" s="88"/>
      <c r="S17" s="88"/>
      <c r="T17" s="88"/>
      <c r="U17" s="89"/>
    </row>
    <row r="18" spans="1:21" x14ac:dyDescent="0.25">
      <c r="A18" s="198"/>
      <c r="B18" s="199"/>
      <c r="C18" s="199"/>
      <c r="D18" s="199"/>
      <c r="E18" s="199"/>
      <c r="F18" s="199"/>
      <c r="G18" s="199"/>
      <c r="H18" s="199"/>
      <c r="I18" s="200"/>
      <c r="K18" s="85"/>
      <c r="O18" s="86"/>
    </row>
    <row r="19" spans="1:21" x14ac:dyDescent="0.25">
      <c r="A19" s="198"/>
      <c r="B19" s="199"/>
      <c r="C19" s="199"/>
      <c r="D19" s="199"/>
      <c r="E19" s="199"/>
      <c r="F19" s="199"/>
      <c r="G19" s="199"/>
      <c r="H19" s="199"/>
      <c r="I19" s="200"/>
      <c r="K19" s="85"/>
      <c r="O19" s="86"/>
    </row>
    <row r="20" spans="1:21" x14ac:dyDescent="0.25">
      <c r="A20" s="198"/>
      <c r="B20" s="199"/>
      <c r="C20" s="199"/>
      <c r="D20" s="199"/>
      <c r="E20" s="199"/>
      <c r="F20" s="199"/>
      <c r="G20" s="199"/>
      <c r="H20" s="199"/>
      <c r="I20" s="200"/>
      <c r="K20" s="85"/>
      <c r="O20" s="86"/>
    </row>
    <row r="21" spans="1:21" x14ac:dyDescent="0.25">
      <c r="A21" s="198"/>
      <c r="B21" s="199"/>
      <c r="C21" s="199"/>
      <c r="D21" s="199"/>
      <c r="E21" s="199"/>
      <c r="F21" s="199"/>
      <c r="G21" s="199"/>
      <c r="H21" s="199"/>
      <c r="I21" s="200"/>
      <c r="K21" s="85"/>
      <c r="O21" s="86"/>
    </row>
    <row r="22" spans="1:21" x14ac:dyDescent="0.25">
      <c r="A22" s="198"/>
      <c r="B22" s="199"/>
      <c r="C22" s="199"/>
      <c r="D22" s="199"/>
      <c r="E22" s="199"/>
      <c r="F22" s="199"/>
      <c r="G22" s="199"/>
      <c r="H22" s="199"/>
      <c r="I22" s="200"/>
      <c r="K22" s="85"/>
      <c r="O22" s="86"/>
    </row>
    <row r="23" spans="1:21" x14ac:dyDescent="0.25">
      <c r="A23" s="198"/>
      <c r="B23" s="199"/>
      <c r="C23" s="199"/>
      <c r="D23" s="199"/>
      <c r="E23" s="199"/>
      <c r="F23" s="199"/>
      <c r="G23" s="199"/>
      <c r="H23" s="199"/>
      <c r="I23" s="200"/>
      <c r="K23" s="85"/>
      <c r="O23" s="86"/>
    </row>
    <row r="24" spans="1:21" x14ac:dyDescent="0.25">
      <c r="A24" s="198"/>
      <c r="B24" s="199"/>
      <c r="C24" s="199"/>
      <c r="D24" s="199"/>
      <c r="E24" s="199"/>
      <c r="F24" s="199"/>
      <c r="G24" s="199"/>
      <c r="H24" s="199"/>
      <c r="I24" s="200"/>
      <c r="K24" s="85"/>
      <c r="O24" s="86"/>
    </row>
    <row r="25" spans="1:21" x14ac:dyDescent="0.25">
      <c r="A25" s="198"/>
      <c r="B25" s="199"/>
      <c r="C25" s="199"/>
      <c r="D25" s="199"/>
      <c r="E25" s="199"/>
      <c r="F25" s="199"/>
      <c r="G25" s="199"/>
      <c r="H25" s="199"/>
      <c r="I25" s="200"/>
      <c r="K25" s="85"/>
      <c r="O25" s="86"/>
    </row>
    <row r="26" spans="1:21" x14ac:dyDescent="0.25">
      <c r="A26" s="198"/>
      <c r="B26" s="199"/>
      <c r="C26" s="199"/>
      <c r="D26" s="199"/>
      <c r="E26" s="199"/>
      <c r="F26" s="199"/>
      <c r="G26" s="199"/>
      <c r="H26" s="199"/>
      <c r="I26" s="200"/>
      <c r="K26" s="85"/>
      <c r="O26" s="86"/>
    </row>
    <row r="27" spans="1:21" x14ac:dyDescent="0.25">
      <c r="A27" s="198"/>
      <c r="B27" s="199"/>
      <c r="C27" s="199"/>
      <c r="D27" s="199"/>
      <c r="E27" s="199"/>
      <c r="F27" s="199"/>
      <c r="G27" s="199"/>
      <c r="H27" s="199"/>
      <c r="I27" s="200"/>
      <c r="K27" s="85"/>
      <c r="O27" s="86"/>
    </row>
    <row r="28" spans="1:21" x14ac:dyDescent="0.25">
      <c r="A28" s="198"/>
      <c r="B28" s="199"/>
      <c r="C28" s="199"/>
      <c r="D28" s="199"/>
      <c r="E28" s="199"/>
      <c r="F28" s="199"/>
      <c r="G28" s="199"/>
      <c r="H28" s="199"/>
      <c r="I28" s="200"/>
      <c r="K28" s="85"/>
      <c r="O28" s="86"/>
    </row>
    <row r="29" spans="1:21" x14ac:dyDescent="0.25">
      <c r="A29" s="198"/>
      <c r="B29" s="199"/>
      <c r="C29" s="199"/>
      <c r="D29" s="199"/>
      <c r="E29" s="199"/>
      <c r="F29" s="199"/>
      <c r="G29" s="199"/>
      <c r="H29" s="199"/>
      <c r="I29" s="200"/>
      <c r="K29" s="87"/>
      <c r="L29" s="88"/>
      <c r="M29" s="88"/>
      <c r="N29" s="88"/>
      <c r="O29" s="89"/>
    </row>
    <row r="30" spans="1:21" ht="15.75" thickBot="1" x14ac:dyDescent="0.3">
      <c r="A30" s="201"/>
      <c r="B30" s="202"/>
      <c r="C30" s="202"/>
      <c r="D30" s="202"/>
      <c r="E30" s="202"/>
      <c r="F30" s="202"/>
      <c r="G30" s="202"/>
      <c r="H30" s="202"/>
      <c r="I30" s="203"/>
    </row>
    <row r="31" spans="1:21" ht="15.75" thickBot="1" x14ac:dyDescent="0.3"/>
    <row r="32" spans="1:21" x14ac:dyDescent="0.25">
      <c r="C32" s="210" t="s">
        <v>107</v>
      </c>
      <c r="D32" s="211"/>
      <c r="E32" s="211"/>
      <c r="F32" s="212"/>
    </row>
    <row r="33" spans="3:6" ht="15.75" thickBot="1" x14ac:dyDescent="0.3">
      <c r="C33" s="213"/>
      <c r="D33" s="214"/>
      <c r="E33" s="214"/>
      <c r="F33" s="215"/>
    </row>
    <row r="34" spans="3:6" ht="15.75" thickBot="1" x14ac:dyDescent="0.3">
      <c r="C34" s="125" t="s">
        <v>103</v>
      </c>
      <c r="D34" s="204" t="s">
        <v>106</v>
      </c>
      <c r="E34" s="205"/>
      <c r="F34" s="206"/>
    </row>
    <row r="35" spans="3:6" ht="15.75" thickBot="1" x14ac:dyDescent="0.3">
      <c r="C35" s="125" t="s">
        <v>104</v>
      </c>
      <c r="D35" s="207" t="s">
        <v>105</v>
      </c>
      <c r="E35" s="208"/>
      <c r="F35" s="209"/>
    </row>
  </sheetData>
  <sheetProtection algorithmName="SHA-512" hashValue="W5PeeukofL+1/BFPo2O1eL2zUiVAXPOPR3M1s2QX6ScswIzcHY/b10+xMyjvl8saTcfBRH15e1o/Yu26wTEI6g==" saltValue="jjlxII3LwYTpsS1ZmU0HBA==" spinCount="100000" sheet="1" objects="1" scenarios="1" selectLockedCells="1" sort="0" autoFilter="0" selectUnlockedCells="1"/>
  <mergeCells count="4">
    <mergeCell ref="A1:I30"/>
    <mergeCell ref="D34:F34"/>
    <mergeCell ref="D35:F35"/>
    <mergeCell ref="C32:F33"/>
  </mergeCells>
  <hyperlinks>
    <hyperlink ref="D34" r:id="rId1"/>
    <hyperlink ref="D35" r:id="rId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K49"/>
  <sheetViews>
    <sheetView zoomScaleNormal="100" workbookViewId="0">
      <selection activeCell="A2" sqref="A2:B2"/>
    </sheetView>
  </sheetViews>
  <sheetFormatPr defaultColWidth="7.7109375" defaultRowHeight="15" x14ac:dyDescent="0.25"/>
  <cols>
    <col min="1" max="2" width="7.7109375" style="93" customWidth="1"/>
    <col min="3" max="4" width="7.7109375" style="93"/>
    <col min="5" max="5" width="8.5703125" style="93" bestFit="1" customWidth="1"/>
    <col min="6" max="7" width="7.7109375" style="93"/>
    <col min="8" max="9" width="7.7109375" style="93" customWidth="1"/>
    <col min="10" max="19" width="7.7109375" style="93"/>
    <col min="20" max="20" width="8.42578125" style="93" bestFit="1" customWidth="1"/>
    <col min="21" max="21" width="7.7109375" style="93"/>
    <col min="22" max="23" width="8.140625" style="93" bestFit="1" customWidth="1"/>
    <col min="24" max="28" width="7.7109375" style="93"/>
    <col min="29" max="29" width="3.7109375" style="93" customWidth="1"/>
    <col min="30" max="30" width="7.7109375" style="93"/>
    <col min="31" max="32" width="7.7109375" style="93" customWidth="1"/>
    <col min="33" max="35" width="7.7109375" style="93"/>
    <col min="36" max="37" width="7.7109375" style="154" hidden="1" customWidth="1"/>
    <col min="38" max="16384" width="7.7109375" style="93"/>
  </cols>
  <sheetData>
    <row r="1" spans="1:37" ht="15.75" thickBot="1" x14ac:dyDescent="0.3">
      <c r="A1" s="240" t="s">
        <v>29</v>
      </c>
      <c r="B1" s="241"/>
      <c r="C1" s="3" t="s">
        <v>30</v>
      </c>
      <c r="D1" s="4" t="s">
        <v>67</v>
      </c>
      <c r="E1" s="270" t="s">
        <v>69</v>
      </c>
      <c r="F1" s="271"/>
      <c r="G1" s="4" t="s">
        <v>68</v>
      </c>
      <c r="H1" s="270" t="s">
        <v>70</v>
      </c>
      <c r="I1" s="271"/>
      <c r="X1" s="272" t="s">
        <v>72</v>
      </c>
      <c r="Y1" s="273"/>
      <c r="Z1" s="274"/>
      <c r="AA1" s="275"/>
      <c r="AB1" s="276"/>
      <c r="AE1" s="265" t="s">
        <v>121</v>
      </c>
      <c r="AF1" s="266"/>
      <c r="AG1" s="267"/>
    </row>
    <row r="2" spans="1:37" ht="15.75" thickBot="1" x14ac:dyDescent="0.3">
      <c r="A2" s="242" t="s">
        <v>79</v>
      </c>
      <c r="B2" s="243"/>
      <c r="C2" s="99">
        <v>2021</v>
      </c>
      <c r="D2" s="99">
        <v>5</v>
      </c>
      <c r="E2" s="268">
        <f>IFERROR(SUM(A3, +D2), "")</f>
        <v>44261</v>
      </c>
      <c r="F2" s="269"/>
      <c r="G2" s="99">
        <v>5</v>
      </c>
      <c r="H2" s="268">
        <f>IFERROR(SUM(B3, -G2), "")</f>
        <v>44281</v>
      </c>
      <c r="I2" s="269"/>
      <c r="X2" s="272" t="s">
        <v>71</v>
      </c>
      <c r="Y2" s="273"/>
      <c r="Z2" s="274"/>
      <c r="AA2" s="275"/>
      <c r="AB2" s="276"/>
    </row>
    <row r="3" spans="1:37" ht="15.75" thickBot="1" x14ac:dyDescent="0.3">
      <c r="A3" s="92">
        <f>IFERROR(VALUE(A2&amp;" "&amp;"1, "&amp;C2), "")</f>
        <v>44256</v>
      </c>
      <c r="B3" s="92">
        <f>IFERROR(EOMONTH(A3,0), "")</f>
        <v>44286</v>
      </c>
      <c r="C3" s="112"/>
      <c r="X3" s="272" t="s">
        <v>73</v>
      </c>
      <c r="Y3" s="273"/>
      <c r="Z3" s="274"/>
      <c r="AA3" s="275"/>
      <c r="AB3" s="276"/>
    </row>
    <row r="4" spans="1:37" x14ac:dyDescent="0.25">
      <c r="A4" s="244" t="s">
        <v>117</v>
      </c>
      <c r="B4" s="245"/>
      <c r="C4" s="245"/>
      <c r="D4" s="245"/>
      <c r="E4" s="245"/>
      <c r="F4" s="245"/>
      <c r="G4" s="245"/>
      <c r="H4" s="245"/>
      <c r="I4" s="245"/>
      <c r="J4" s="245"/>
      <c r="K4" s="245"/>
      <c r="L4" s="245"/>
      <c r="M4" s="245"/>
      <c r="N4" s="245"/>
      <c r="O4" s="245"/>
      <c r="P4" s="245"/>
      <c r="Q4" s="245"/>
      <c r="R4" s="245"/>
      <c r="S4" s="245"/>
      <c r="T4" s="245"/>
      <c r="U4" s="245"/>
      <c r="V4" s="245"/>
      <c r="W4" s="245"/>
      <c r="X4" s="245"/>
      <c r="Y4" s="245"/>
      <c r="Z4" s="245"/>
      <c r="AA4" s="245"/>
      <c r="AB4" s="246"/>
      <c r="AD4" s="259" t="s">
        <v>47</v>
      </c>
      <c r="AE4" s="260"/>
      <c r="AF4" s="260"/>
      <c r="AG4" s="260"/>
      <c r="AH4" s="261"/>
      <c r="AJ4" s="154">
        <f>$AB$7</f>
        <v>0</v>
      </c>
      <c r="AK4" s="154" t="str">
        <f>IF(DevMode!A2="","Unused",DevMode!A2)</f>
        <v>Alpha</v>
      </c>
    </row>
    <row r="5" spans="1:37" ht="15.75" thickBot="1" x14ac:dyDescent="0.3">
      <c r="A5" s="247"/>
      <c r="B5" s="248"/>
      <c r="C5" s="248"/>
      <c r="D5" s="248"/>
      <c r="E5" s="248"/>
      <c r="F5" s="248"/>
      <c r="G5" s="248"/>
      <c r="H5" s="248"/>
      <c r="I5" s="248"/>
      <c r="J5" s="248"/>
      <c r="K5" s="248"/>
      <c r="L5" s="248"/>
      <c r="M5" s="248"/>
      <c r="N5" s="248"/>
      <c r="O5" s="248"/>
      <c r="P5" s="248"/>
      <c r="Q5" s="248"/>
      <c r="R5" s="248"/>
      <c r="S5" s="248"/>
      <c r="T5" s="248"/>
      <c r="U5" s="248"/>
      <c r="V5" s="248"/>
      <c r="W5" s="248"/>
      <c r="X5" s="248"/>
      <c r="Y5" s="248"/>
      <c r="Z5" s="248"/>
      <c r="AA5" s="248"/>
      <c r="AB5" s="249"/>
      <c r="AD5" s="262"/>
      <c r="AE5" s="263"/>
      <c r="AF5" s="263"/>
      <c r="AG5" s="263"/>
      <c r="AH5" s="264"/>
      <c r="AJ5" s="154">
        <f>$AB$8</f>
        <v>0</v>
      </c>
      <c r="AK5" s="154" t="str">
        <f>IF(DevMode!A3="","Unused",DevMode!A3)</f>
        <v>Bravo</v>
      </c>
    </row>
    <row r="6" spans="1:37" ht="15.75" thickBot="1" x14ac:dyDescent="0.3">
      <c r="A6" s="5"/>
      <c r="B6" s="6" t="str">
        <f>IF(DevMode!J2="","Unused",DevMode!J2)</f>
        <v>Pvt</v>
      </c>
      <c r="C6" s="6" t="str">
        <f>IF(DevMode!J3="","Unused",DevMode!J3)</f>
        <v>PFC</v>
      </c>
      <c r="D6" s="6" t="str">
        <f>IF(DevMode!J4="","Unused",DevMode!J4)</f>
        <v>LCpl</v>
      </c>
      <c r="E6" s="6" t="str">
        <f>IF(DevMode!J5="","Unused",DevMode!J5)</f>
        <v>Cpl</v>
      </c>
      <c r="F6" s="6" t="str">
        <f>IF(DevMode!J6="","Unused",DevMode!J6)</f>
        <v>Sgt</v>
      </c>
      <c r="G6" s="6" t="str">
        <f>IF(DevMode!J7="","Unused",DevMode!J7)</f>
        <v>SSgt</v>
      </c>
      <c r="H6" s="6" t="str">
        <f>IF(DevMode!J8="","Unused",DevMode!J8)</f>
        <v>GySgt</v>
      </c>
      <c r="I6" s="6" t="str">
        <f>IF(DevMode!J9="","Unused",DevMode!J9)</f>
        <v>MSgt</v>
      </c>
      <c r="J6" s="6" t="str">
        <f>IF(DevMode!J10="","Unused",DevMode!J10)</f>
        <v>1stSgt</v>
      </c>
      <c r="K6" s="6" t="str">
        <f>IF(DevMode!J11="","Unused",DevMode!J11)</f>
        <v>MGySgt</v>
      </c>
      <c r="L6" s="6" t="str">
        <f>IF(DevMode!J12="","Unused",DevMode!J12)</f>
        <v>SgtMaj</v>
      </c>
      <c r="M6" s="6" t="str">
        <f>IF(DevMode!J13="","Unused",DevMode!J13)</f>
        <v>WO1</v>
      </c>
      <c r="N6" s="6" t="str">
        <f>IF(DevMode!J14="","Unused",DevMode!J14)</f>
        <v>CWO2</v>
      </c>
      <c r="O6" s="6" t="str">
        <f>IF(DevMode!J15="","Unused",DevMode!J15)</f>
        <v>CWO3</v>
      </c>
      <c r="P6" s="6" t="str">
        <f>IF(DevMode!J16="","Unused",DevMode!J16)</f>
        <v>CWO4</v>
      </c>
      <c r="Q6" s="6" t="str">
        <f>IF(DevMode!J17="","Unused",DevMode!J17)</f>
        <v>CWO5</v>
      </c>
      <c r="R6" s="6" t="str">
        <f>IF(DevMode!J18="","Unused",DevMode!J18)</f>
        <v>2ndLt</v>
      </c>
      <c r="S6" s="6" t="str">
        <f>IF(DevMode!J19="","Unused",DevMode!J19)</f>
        <v>1stLt</v>
      </c>
      <c r="T6" s="6" t="str">
        <f>IF(DevMode!J20="","Unused",DevMode!J20)</f>
        <v>Capt</v>
      </c>
      <c r="U6" s="6" t="str">
        <f>IF(DevMode!J21="","Unused",DevMode!J21)</f>
        <v>Maj</v>
      </c>
      <c r="V6" s="6" t="str">
        <f>IF(DevMode!J22="","Unused",DevMode!J22)</f>
        <v>LtCol</v>
      </c>
      <c r="W6" s="6" t="str">
        <f>IF(DevMode!J23="","Unused",DevMode!J23)</f>
        <v>Col</v>
      </c>
      <c r="X6" s="6" t="str">
        <f>IF(DevMode!J24="","Unused",DevMode!J24)</f>
        <v>BGen</v>
      </c>
      <c r="Y6" s="6" t="str">
        <f>IF(DevMode!J25="","Unused",DevMode!J25)</f>
        <v>MajGen</v>
      </c>
      <c r="Z6" s="6" t="str">
        <f>IF(DevMode!J26="","Unused",DevMode!J26)</f>
        <v>LtGen</v>
      </c>
      <c r="AA6" s="6" t="str">
        <f>IF(DevMode!J27="","Unused",DevMode!J27)</f>
        <v>Gen</v>
      </c>
      <c r="AB6" s="6" t="s">
        <v>28</v>
      </c>
      <c r="AD6" s="257" t="s">
        <v>89</v>
      </c>
      <c r="AE6" s="258"/>
      <c r="AF6" s="258"/>
      <c r="AG6" s="258"/>
      <c r="AH6" s="109">
        <f>SUM(AB7:AB13)</f>
        <v>0</v>
      </c>
      <c r="AJ6" s="154">
        <f>$AB$9</f>
        <v>0</v>
      </c>
      <c r="AK6" s="154" t="str">
        <f>IF(DevMode!A4="","Unused",DevMode!A4)</f>
        <v>Charlie</v>
      </c>
    </row>
    <row r="7" spans="1:37" ht="15.75" thickBot="1" x14ac:dyDescent="0.3">
      <c r="A7" s="7" t="str">
        <f>IF(DevMode!A2="","Unused",DevMode!A2)</f>
        <v>Alpha</v>
      </c>
      <c r="B7" s="170">
        <f>IF(OR($A$7="Unused",B6="Unused"),0,COUNTIFS('Available Bodies'!$A:$A, B6, 'Available Bodies'!$F:$F,DevMode!$B$2))</f>
        <v>0</v>
      </c>
      <c r="C7" s="192">
        <f>IF(OR($A$7="Unused",C6="Unused"),0,COUNTIFS('Available Bodies'!$A:$A, C6, 'Available Bodies'!$F:$F,DevMode!$B$2))</f>
        <v>0</v>
      </c>
      <c r="D7" s="192">
        <f>IF(OR($A$7="Unused",D6="Unused"),0,COUNTIFS('Available Bodies'!$A:$A, D6, 'Available Bodies'!$F:$F,DevMode!$B$2))</f>
        <v>0</v>
      </c>
      <c r="E7" s="192">
        <f>IF(OR($A$7="Unused",E6="Unused"),0,COUNTIFS('Available Bodies'!$A:$A, E6, 'Available Bodies'!$F:$F,DevMode!$B$2))</f>
        <v>0</v>
      </c>
      <c r="F7" s="192">
        <f>IF(OR($A$7="Unused",F6="Unused"),0,COUNTIFS('Available Bodies'!$A:$A, F6, 'Available Bodies'!$F:$F,DevMode!$B$2))</f>
        <v>0</v>
      </c>
      <c r="G7" s="192">
        <f>IF(OR($A$7="Unused",G6="Unused"),0,COUNTIFS('Available Bodies'!$A:$A, G6, 'Available Bodies'!$F:$F,DevMode!$B$2))</f>
        <v>0</v>
      </c>
      <c r="H7" s="192">
        <f>IF(OR($A$7="Unused",H6="Unused"),0,COUNTIFS('Available Bodies'!$A:$A, H6, 'Available Bodies'!$F:$F,DevMode!$B$2))</f>
        <v>0</v>
      </c>
      <c r="I7" s="192">
        <f>IF(OR($A$7="Unused",I6="Unused"),0,COUNTIFS('Available Bodies'!$A:$A, I6, 'Available Bodies'!$F:$F,DevMode!$B$2))</f>
        <v>0</v>
      </c>
      <c r="J7" s="192">
        <f>IF(OR($A$7="Unused",J6="Unused"),0,COUNTIFS('Available Bodies'!$A:$A, J6, 'Available Bodies'!$F:$F,DevMode!$B$2))</f>
        <v>0</v>
      </c>
      <c r="K7" s="192">
        <f>IF(OR($A$7="Unused",K6="Unused"),0,COUNTIFS('Available Bodies'!$A:$A, K6, 'Available Bodies'!$F:$F,DevMode!$B$2))</f>
        <v>0</v>
      </c>
      <c r="L7" s="192">
        <f>IF(OR($A$7="Unused",L6="Unused"),0,COUNTIFS('Available Bodies'!$A:$A, L6, 'Available Bodies'!$F:$F,DevMode!$B$2))</f>
        <v>0</v>
      </c>
      <c r="M7" s="192">
        <f>IF(OR($A$7="Unused",M6="Unused"),0,COUNTIFS('Available Bodies'!$A:$A, M6, 'Available Bodies'!$F:$F,DevMode!$B$2))</f>
        <v>0</v>
      </c>
      <c r="N7" s="192">
        <f>IF(OR($A$7="Unused",N6="Unused"),0,COUNTIFS('Available Bodies'!$A:$A, N6, 'Available Bodies'!$F:$F,DevMode!$B$2))</f>
        <v>0</v>
      </c>
      <c r="O7" s="192">
        <f>IF(OR($A$7="Unused",O6="Unused"),0,COUNTIFS('Available Bodies'!$A:$A, O6, 'Available Bodies'!$F:$F,DevMode!$B$2))</f>
        <v>0</v>
      </c>
      <c r="P7" s="192">
        <f>IF(OR($A$7="Unused",P6="Unused"),0,COUNTIFS('Available Bodies'!$A:$A, P6, 'Available Bodies'!$F:$F,DevMode!$B$2))</f>
        <v>0</v>
      </c>
      <c r="Q7" s="192">
        <f>IF(OR($A$7="Unused",Q6="Unused"),0,COUNTIFS('Available Bodies'!$A:$A, Q6, 'Available Bodies'!$F:$F,DevMode!$B$2))</f>
        <v>0</v>
      </c>
      <c r="R7" s="192">
        <f>IF(OR($A$7="Unused",R6="Unused"),0,COUNTIFS('Available Bodies'!$A:$A, R6, 'Available Bodies'!$F:$F,DevMode!$B$2))</f>
        <v>0</v>
      </c>
      <c r="S7" s="192">
        <f>IF(OR($A$7="Unused",S6="Unused"),0,COUNTIFS('Available Bodies'!$A:$A, S6, 'Available Bodies'!$F:$F,DevMode!$B$2))</f>
        <v>0</v>
      </c>
      <c r="T7" s="192">
        <f>IF(OR($A$7="Unused",T6="Unused"),0,COUNTIFS('Available Bodies'!$A:$A, T6, 'Available Bodies'!$F:$F,DevMode!$B$2))</f>
        <v>0</v>
      </c>
      <c r="U7" s="192">
        <f>IF(OR($A$7="Unused",U6="Unused"),0,COUNTIFS('Available Bodies'!$A:$A, U6, 'Available Bodies'!$F:$F,DevMode!$B$2))</f>
        <v>0</v>
      </c>
      <c r="V7" s="192">
        <f>IF(OR($A$7="Unused",V6="Unused"),0,COUNTIFS('Available Bodies'!$A:$A, V6, 'Available Bodies'!$F:$F,DevMode!$B$2))</f>
        <v>0</v>
      </c>
      <c r="W7" s="192">
        <f>IF(OR($A$7="Unused",W6="Unused"),0,COUNTIFS('Available Bodies'!$A:$A, W6, 'Available Bodies'!$F:$F,DevMode!$B$2))</f>
        <v>0</v>
      </c>
      <c r="X7" s="192">
        <f>IF(OR($A$7="Unused",X6="Unused"),0,COUNTIFS('Available Bodies'!$A:$A, X6, 'Available Bodies'!$F:$F,DevMode!$B$2))</f>
        <v>0</v>
      </c>
      <c r="Y7" s="192">
        <f>IF(OR($A$7="Unused",Y6="Unused"),0,COUNTIFS('Available Bodies'!$A:$A, Y6, 'Available Bodies'!$F:$F,DevMode!$B$2))</f>
        <v>0</v>
      </c>
      <c r="Z7" s="192">
        <f>IF(OR($A$7="Unused",Z6="Unused"),0,COUNTIFS('Available Bodies'!$A:$A, Z6, 'Available Bodies'!$F:$F,DevMode!$B$2))</f>
        <v>0</v>
      </c>
      <c r="AA7" s="171">
        <f>IF(OR($A$7="Unused",AA6="Unused"),0,COUNTIFS('Available Bodies'!$A:$A, AA6, 'Available Bodies'!$F:$F,DevMode!$B$2))</f>
        <v>0</v>
      </c>
      <c r="AB7" s="103">
        <f>SUM(B7:AA7)</f>
        <v>0</v>
      </c>
      <c r="AD7" s="238" t="s">
        <v>44</v>
      </c>
      <c r="AE7" s="239"/>
      <c r="AF7" s="239"/>
      <c r="AG7" s="239"/>
      <c r="AH7" s="110">
        <f>DAY(End)*DevMode!E11</f>
        <v>403</v>
      </c>
      <c r="AJ7" s="154">
        <f>$AB$10</f>
        <v>0</v>
      </c>
      <c r="AK7" s="154" t="str">
        <f>IF(DevMode!A5="","Unused",DevMode!A5)</f>
        <v>Delta</v>
      </c>
    </row>
    <row r="8" spans="1:37" ht="15.75" thickBot="1" x14ac:dyDescent="0.3">
      <c r="A8" s="9" t="str">
        <f>IF(DevMode!A3="","Unused",DevMode!A3)</f>
        <v>Bravo</v>
      </c>
      <c r="B8" s="172">
        <f>IF(OR($A$8="Unused",B6="Unused"),0,COUNTIFS('Available Bodies'!$A:$A, B6, 'Available Bodies'!$F:$F,DevMode!$B$3))</f>
        <v>0</v>
      </c>
      <c r="C8" s="187">
        <f>IF(OR($A$8="Unused",C6="Unused"),0,COUNTIFS('Available Bodies'!$A:$A, C6, 'Available Bodies'!$F:$F,DevMode!$B$3))</f>
        <v>0</v>
      </c>
      <c r="D8" s="187">
        <f>IF(OR($A$8="Unused",D6="Unused"),0,COUNTIFS('Available Bodies'!$A:$A, D6, 'Available Bodies'!$F:$F,DevMode!$B$3))</f>
        <v>0</v>
      </c>
      <c r="E8" s="187">
        <f>IF(OR($A$8="Unused",E6="Unused"),0,COUNTIFS('Available Bodies'!$A:$A, E6, 'Available Bodies'!$F:$F,DevMode!$B$3))</f>
        <v>0</v>
      </c>
      <c r="F8" s="187">
        <f>IF(OR($A$8="Unused",F6="Unused"),0,COUNTIFS('Available Bodies'!$A:$A, F6, 'Available Bodies'!$F:$F,DevMode!$B$3))</f>
        <v>0</v>
      </c>
      <c r="G8" s="187">
        <f>IF(OR($A$8="Unused",G6="Unused"),0,COUNTIFS('Available Bodies'!$A:$A, G6, 'Available Bodies'!$F:$F,DevMode!$B$3))</f>
        <v>0</v>
      </c>
      <c r="H8" s="187">
        <f>IF(OR($A$8="Unused",H6="Unused"),0,COUNTIFS('Available Bodies'!$A:$A, H6, 'Available Bodies'!$F:$F,DevMode!$B$3))</f>
        <v>0</v>
      </c>
      <c r="I8" s="187">
        <f>IF(OR($A$8="Unused",I6="Unused"),0,COUNTIFS('Available Bodies'!$A:$A, I6, 'Available Bodies'!$F:$F,DevMode!$B$3))</f>
        <v>0</v>
      </c>
      <c r="J8" s="187">
        <f>IF(OR($A$8="Unused",J6="Unused"),0,COUNTIFS('Available Bodies'!$A:$A, J6, 'Available Bodies'!$F:$F,DevMode!$B$3))</f>
        <v>0</v>
      </c>
      <c r="K8" s="187">
        <f>IF(OR($A$8="Unused",K6="Unused"),0,COUNTIFS('Available Bodies'!$A:$A, K6, 'Available Bodies'!$F:$F,DevMode!$B$3))</f>
        <v>0</v>
      </c>
      <c r="L8" s="187">
        <f>IF(OR($A$8="Unused",L6="Unused"),0,COUNTIFS('Available Bodies'!$A:$A, L6, 'Available Bodies'!$F:$F,DevMode!$B$3))</f>
        <v>0</v>
      </c>
      <c r="M8" s="187">
        <f>IF(OR($A$8="Unused",M6="Unused"),0,COUNTIFS('Available Bodies'!$A:$A, M6, 'Available Bodies'!$F:$F,DevMode!$B$3))</f>
        <v>0</v>
      </c>
      <c r="N8" s="187">
        <f>IF(OR($A$8="Unused",N6="Unused"),0,COUNTIFS('Available Bodies'!$A:$A, N6, 'Available Bodies'!$F:$F,DevMode!$B$3))</f>
        <v>0</v>
      </c>
      <c r="O8" s="187">
        <f>IF(OR($A$8="Unused",O6="Unused"),0,COUNTIFS('Available Bodies'!$A:$A, O6, 'Available Bodies'!$F:$F,DevMode!$B$3))</f>
        <v>0</v>
      </c>
      <c r="P8" s="187">
        <f>IF(OR($A$8="Unused",P6="Unused"),0,COUNTIFS('Available Bodies'!$A:$A, P6, 'Available Bodies'!$F:$F,DevMode!$B$3))</f>
        <v>0</v>
      </c>
      <c r="Q8" s="187">
        <f>IF(OR($A$8="Unused",Q6="Unused"),0,COUNTIFS('Available Bodies'!$A:$A, Q6, 'Available Bodies'!$F:$F,DevMode!$B$3))</f>
        <v>0</v>
      </c>
      <c r="R8" s="187">
        <f>IF(OR($A$8="Unused",R6="Unused"),0,COUNTIFS('Available Bodies'!$A:$A, R6, 'Available Bodies'!$F:$F,DevMode!$B$3))</f>
        <v>0</v>
      </c>
      <c r="S8" s="187">
        <f>IF(OR($A$8="Unused",S6="Unused"),0,COUNTIFS('Available Bodies'!$A:$A, S6, 'Available Bodies'!$F:$F,DevMode!$B$3))</f>
        <v>0</v>
      </c>
      <c r="T8" s="187">
        <f>IF(OR($A$8="Unused",T6="Unused"),0,COUNTIFS('Available Bodies'!$A:$A, T6, 'Available Bodies'!$F:$F,DevMode!$B$3))</f>
        <v>0</v>
      </c>
      <c r="U8" s="187">
        <f>IF(OR($A$8="Unused",U6="Unused"),0,COUNTIFS('Available Bodies'!$A:$A, U6, 'Available Bodies'!$F:$F,DevMode!$B$3))</f>
        <v>0</v>
      </c>
      <c r="V8" s="187">
        <f>IF(OR($A$8="Unused",V6="Unused"),0,COUNTIFS('Available Bodies'!$A:$A, V6, 'Available Bodies'!$F:$F,DevMode!$B$3))</f>
        <v>0</v>
      </c>
      <c r="W8" s="187">
        <f>IF(OR($A$8="Unused",W6="Unused"),0,COUNTIFS('Available Bodies'!$A:$A, W6, 'Available Bodies'!$F:$F,DevMode!$B$3))</f>
        <v>0</v>
      </c>
      <c r="X8" s="187">
        <f>IF(OR($A$8="Unused",X6="Unused"),0,COUNTIFS('Available Bodies'!$A:$A, X6, 'Available Bodies'!$F:$F,DevMode!$B$3))</f>
        <v>0</v>
      </c>
      <c r="Y8" s="187">
        <f>IF(OR($A$8="Unused",Y6="Unused"),0,COUNTIFS('Available Bodies'!$A:$A, Y6, 'Available Bodies'!$F:$F,DevMode!$B$3))</f>
        <v>0</v>
      </c>
      <c r="Z8" s="187">
        <f>IF(OR($A$8="Unused",Z6="Unused"),0,COUNTIFS('Available Bodies'!$A:$A, Z6, 'Available Bodies'!$F:$F,DevMode!$B$3))</f>
        <v>0</v>
      </c>
      <c r="AA8" s="173">
        <f>IF(OR($A$8="Unused",AA6="Unused"),0,COUNTIFS('Available Bodies'!$A:$A, AA6, 'Available Bodies'!$F:$F,DevMode!$B$3))</f>
        <v>0</v>
      </c>
      <c r="AB8" s="104">
        <f t="shared" ref="AB8:AB13" si="0">SUM(B8:AA8)</f>
        <v>0</v>
      </c>
      <c r="AD8" s="238" t="s">
        <v>45</v>
      </c>
      <c r="AE8" s="239"/>
      <c r="AF8" s="239"/>
      <c r="AG8" s="239"/>
      <c r="AH8" s="110">
        <f>COUNTA(DevMode!A2:A8)</f>
        <v>7</v>
      </c>
      <c r="AJ8" s="154">
        <f>$AB$11</f>
        <v>0</v>
      </c>
      <c r="AK8" s="154" t="str">
        <f>IF(DevMode!A6="","Unused",DevMode!A6)</f>
        <v>GS</v>
      </c>
    </row>
    <row r="9" spans="1:37" ht="15.75" thickBot="1" x14ac:dyDescent="0.3">
      <c r="A9" s="10" t="str">
        <f>IF(DevMode!A4="","Unused",DevMode!A4)</f>
        <v>Charlie</v>
      </c>
      <c r="B9" s="174">
        <f>IF(OR($A$9="Unused",B6="Unused"),0,COUNTIFS('Available Bodies'!$A:$A, B6, 'Available Bodies'!$F:$F,DevMode!$B$4))</f>
        <v>0</v>
      </c>
      <c r="C9" s="188">
        <f>IF(OR($A$9="Unused",C6="Unused"),0,COUNTIFS('Available Bodies'!$A:$A, C6, 'Available Bodies'!$F:$F,DevMode!$B$4))</f>
        <v>0</v>
      </c>
      <c r="D9" s="188">
        <f>IF(OR($A$9="Unused",D6="Unused"),0,COUNTIFS('Available Bodies'!$A:$A, D6, 'Available Bodies'!$F:$F,DevMode!$B$4))</f>
        <v>0</v>
      </c>
      <c r="E9" s="188">
        <f>IF(OR($A$9="Unused",E6="Unused"),0,COUNTIFS('Available Bodies'!$A:$A, E6, 'Available Bodies'!$F:$F,DevMode!$B$4))</f>
        <v>0</v>
      </c>
      <c r="F9" s="188">
        <f>IF(OR($A$9="Unused",F6="Unused"),0,COUNTIFS('Available Bodies'!$A:$A, F6, 'Available Bodies'!$F:$F,DevMode!$B$4))</f>
        <v>0</v>
      </c>
      <c r="G9" s="188">
        <f>IF(OR($A$9="Unused",G6="Unused"),0,COUNTIFS('Available Bodies'!$A:$A, G6, 'Available Bodies'!$F:$F,DevMode!$B$4))</f>
        <v>0</v>
      </c>
      <c r="H9" s="188">
        <f>IF(OR($A$9="Unused",H6="Unused"),0,COUNTIFS('Available Bodies'!$A:$A, H6, 'Available Bodies'!$F:$F,DevMode!$B$4))</f>
        <v>0</v>
      </c>
      <c r="I9" s="188">
        <f>IF(OR($A$9="Unused",I6="Unused"),0,COUNTIFS('Available Bodies'!$A:$A, I6, 'Available Bodies'!$F:$F,DevMode!$B$4))</f>
        <v>0</v>
      </c>
      <c r="J9" s="188">
        <f>IF(OR($A$9="Unused",J6="Unused"),0,COUNTIFS('Available Bodies'!$A:$A, J6, 'Available Bodies'!$F:$F,DevMode!$B$4))</f>
        <v>0</v>
      </c>
      <c r="K9" s="188">
        <f>IF(OR($A$9="Unused",K6="Unused"),0,COUNTIFS('Available Bodies'!$A:$A, K6, 'Available Bodies'!$F:$F,DevMode!$B$4))</f>
        <v>0</v>
      </c>
      <c r="L9" s="188">
        <f>IF(OR($A$9="Unused",L6="Unused"),0,COUNTIFS('Available Bodies'!$A:$A, L6, 'Available Bodies'!$F:$F,DevMode!$B$4))</f>
        <v>0</v>
      </c>
      <c r="M9" s="188">
        <f>IF(OR($A$9="Unused",M6="Unused"),0,COUNTIFS('Available Bodies'!$A:$A, M6, 'Available Bodies'!$F:$F,DevMode!$B$4))</f>
        <v>0</v>
      </c>
      <c r="N9" s="188">
        <f>IF(OR($A$9="Unused",N6="Unused"),0,COUNTIFS('Available Bodies'!$A:$A, N6, 'Available Bodies'!$F:$F,DevMode!$B$4))</f>
        <v>0</v>
      </c>
      <c r="O9" s="188">
        <f>IF(OR($A$9="Unused",O6="Unused"),0,COUNTIFS('Available Bodies'!$A:$A, O6, 'Available Bodies'!$F:$F,DevMode!$B$4))</f>
        <v>0</v>
      </c>
      <c r="P9" s="188">
        <f>IF(OR($A$9="Unused",P6="Unused"),0,COUNTIFS('Available Bodies'!$A:$A, P6, 'Available Bodies'!$F:$F,DevMode!$B$4))</f>
        <v>0</v>
      </c>
      <c r="Q9" s="188">
        <f>IF(OR($A$9="Unused",Q6="Unused"),0,COUNTIFS('Available Bodies'!$A:$A, Q6, 'Available Bodies'!$F:$F,DevMode!$B$4))</f>
        <v>0</v>
      </c>
      <c r="R9" s="188">
        <f>IF(OR($A$9="Unused",R6="Unused"),0,COUNTIFS('Available Bodies'!$A:$A, R6, 'Available Bodies'!$F:$F,DevMode!$B$4))</f>
        <v>0</v>
      </c>
      <c r="S9" s="188">
        <f>IF(OR($A$9="Unused",S6="Unused"),0,COUNTIFS('Available Bodies'!$A:$A, S6, 'Available Bodies'!$F:$F,DevMode!$B$4))</f>
        <v>0</v>
      </c>
      <c r="T9" s="188">
        <f>IF(OR($A$9="Unused",T6="Unused"),0,COUNTIFS('Available Bodies'!$A:$A, T6, 'Available Bodies'!$F:$F,DevMode!$B$4))</f>
        <v>0</v>
      </c>
      <c r="U9" s="188">
        <f>IF(OR($A$9="Unused",U6="Unused"),0,COUNTIFS('Available Bodies'!$A:$A, U6, 'Available Bodies'!$F:$F,DevMode!$B$4))</f>
        <v>0</v>
      </c>
      <c r="V9" s="188">
        <f>IF(OR($A$9="Unused",V6="Unused"),0,COUNTIFS('Available Bodies'!$A:$A, V6, 'Available Bodies'!$F:$F,DevMode!$B$4))</f>
        <v>0</v>
      </c>
      <c r="W9" s="188">
        <f>IF(OR($A$9="Unused",W6="Unused"),0,COUNTIFS('Available Bodies'!$A:$A, W6, 'Available Bodies'!$F:$F,DevMode!$B$4))</f>
        <v>0</v>
      </c>
      <c r="X9" s="188">
        <f>IF(OR($A$9="Unused",X6="Unused"),0,COUNTIFS('Available Bodies'!$A:$A, X6, 'Available Bodies'!$F:$F,DevMode!$B$4))</f>
        <v>0</v>
      </c>
      <c r="Y9" s="188">
        <f>IF(OR($A$9="Unused",Y6="Unused"),0,COUNTIFS('Available Bodies'!$A:$A, Y6, 'Available Bodies'!$F:$F,DevMode!$B$4))</f>
        <v>0</v>
      </c>
      <c r="Z9" s="188">
        <f>IF(OR($A$9="Unused",Z6="Unused"),0,COUNTIFS('Available Bodies'!$A:$A, Z6, 'Available Bodies'!$F:$F,DevMode!$B$4))</f>
        <v>0</v>
      </c>
      <c r="AA9" s="175">
        <f>IF(OR($A$9="Unused",AA6="Unused"),0,COUNTIFS('Available Bodies'!$A:$A, AA6, 'Available Bodies'!$F:$F,DevMode!$B$4))</f>
        <v>0</v>
      </c>
      <c r="AB9" s="104">
        <f t="shared" si="0"/>
        <v>0</v>
      </c>
      <c r="AD9" s="236" t="s">
        <v>46</v>
      </c>
      <c r="AE9" s="237"/>
      <c r="AF9" s="237"/>
      <c r="AG9" s="237"/>
      <c r="AH9" s="111" t="str">
        <f>IF(MAX(AJ4:AJ10)=0, "NONE", VLOOKUP(MAX(AJ4:AJ10),AJ4:AK10,2,FALSE))</f>
        <v>NONE</v>
      </c>
      <c r="AJ9" s="154">
        <f>$AB$12</f>
        <v>0</v>
      </c>
      <c r="AK9" s="154" t="str">
        <f>IF(DevMode!A7="","Unused",DevMode!A7)</f>
        <v>HQ</v>
      </c>
    </row>
    <row r="10" spans="1:37" ht="15.75" thickBot="1" x14ac:dyDescent="0.3">
      <c r="A10" s="11" t="str">
        <f>IF(DevMode!A5="","Unused",DevMode!A5)</f>
        <v>Delta</v>
      </c>
      <c r="B10" s="176">
        <f>IF(OR($A$10="Unused",B6="Unused"),0,COUNTIFS('Available Bodies'!$A:$A, B6, 'Available Bodies'!$F:$F,DevMode!$B$5))</f>
        <v>0</v>
      </c>
      <c r="C10" s="189">
        <f>IF(OR($A$10="Unused",C6="Unused"),0,COUNTIFS('Available Bodies'!$A:$A, C6, 'Available Bodies'!$F:$F,DevMode!$B$5))</f>
        <v>0</v>
      </c>
      <c r="D10" s="189">
        <f>IF(OR($A$10="Unused",D6="Unused"),0,COUNTIFS('Available Bodies'!$A:$A, D6, 'Available Bodies'!$F:$F,DevMode!$B$5))</f>
        <v>0</v>
      </c>
      <c r="E10" s="189">
        <f>IF(OR($A$10="Unused",E6="Unused"),0,COUNTIFS('Available Bodies'!$A:$A, E6, 'Available Bodies'!$F:$F,DevMode!$B$5))</f>
        <v>0</v>
      </c>
      <c r="F10" s="189">
        <f>IF(OR($A$10="Unused",F6="Unused"),0,COUNTIFS('Available Bodies'!$A:$A, F6, 'Available Bodies'!$F:$F,DevMode!$B$5))</f>
        <v>0</v>
      </c>
      <c r="G10" s="189">
        <f>IF(OR($A$10="Unused",G6="Unused"),0,COUNTIFS('Available Bodies'!$A:$A, G6, 'Available Bodies'!$F:$F,DevMode!$B$5))</f>
        <v>0</v>
      </c>
      <c r="H10" s="189">
        <f>IF(OR($A$10="Unused",H6="Unused"),0,COUNTIFS('Available Bodies'!$A:$A, H6, 'Available Bodies'!$F:$F,DevMode!$B$5))</f>
        <v>0</v>
      </c>
      <c r="I10" s="189">
        <f>IF(OR($A$10="Unused",I6="Unused"),0,COUNTIFS('Available Bodies'!$A:$A, I6, 'Available Bodies'!$F:$F,DevMode!$B$5))</f>
        <v>0</v>
      </c>
      <c r="J10" s="189">
        <f>IF(OR($A$10="Unused",J6="Unused"),0,COUNTIFS('Available Bodies'!$A:$A, J6, 'Available Bodies'!$F:$F,DevMode!$B$5))</f>
        <v>0</v>
      </c>
      <c r="K10" s="189">
        <f>IF(OR($A$10="Unused",K6="Unused"),0,COUNTIFS('Available Bodies'!$A:$A, K6, 'Available Bodies'!$F:$F,DevMode!$B$5))</f>
        <v>0</v>
      </c>
      <c r="L10" s="189">
        <f>IF(OR($A$10="Unused",L6="Unused"),0,COUNTIFS('Available Bodies'!$A:$A, L6, 'Available Bodies'!$F:$F,DevMode!$B$5))</f>
        <v>0</v>
      </c>
      <c r="M10" s="189">
        <f>IF(OR($A$10="Unused",M6="Unused"),0,COUNTIFS('Available Bodies'!$A:$A, M6, 'Available Bodies'!$F:$F,DevMode!$B$5))</f>
        <v>0</v>
      </c>
      <c r="N10" s="189">
        <f>IF(OR($A$10="Unused",N6="Unused"),0,COUNTIFS('Available Bodies'!$A:$A, N6, 'Available Bodies'!$F:$F,DevMode!$B$5))</f>
        <v>0</v>
      </c>
      <c r="O10" s="189">
        <f>IF(OR($A$10="Unused",O6="Unused"),0,COUNTIFS('Available Bodies'!$A:$A, O6, 'Available Bodies'!$F:$F,DevMode!$B$5))</f>
        <v>0</v>
      </c>
      <c r="P10" s="189">
        <f>IF(OR($A$10="Unused",P6="Unused"),0,COUNTIFS('Available Bodies'!$A:$A, P6, 'Available Bodies'!$F:$F,DevMode!$B$5))</f>
        <v>0</v>
      </c>
      <c r="Q10" s="189">
        <f>IF(OR($A$10="Unused",Q6="Unused"),0,COUNTIFS('Available Bodies'!$A:$A, Q6, 'Available Bodies'!$F:$F,DevMode!$B$5))</f>
        <v>0</v>
      </c>
      <c r="R10" s="189">
        <f>IF(OR($A$10="Unused",R6="Unused"),0,COUNTIFS('Available Bodies'!$A:$A, R6, 'Available Bodies'!$F:$F,DevMode!$B$5))</f>
        <v>0</v>
      </c>
      <c r="S10" s="189">
        <f>IF(OR($A$10="Unused",S6="Unused"),0,COUNTIFS('Available Bodies'!$A:$A, S6, 'Available Bodies'!$F:$F,DevMode!$B$5))</f>
        <v>0</v>
      </c>
      <c r="T10" s="189">
        <f>IF(OR($A$10="Unused",T6="Unused"),0,COUNTIFS('Available Bodies'!$A:$A, T6, 'Available Bodies'!$F:$F,DevMode!$B$5))</f>
        <v>0</v>
      </c>
      <c r="U10" s="189">
        <f>IF(OR($A$10="Unused",U6="Unused"),0,COUNTIFS('Available Bodies'!$A:$A, U6, 'Available Bodies'!$F:$F,DevMode!$B$5))</f>
        <v>0</v>
      </c>
      <c r="V10" s="189">
        <f>IF(OR($A$10="Unused",V6="Unused"),0,COUNTIFS('Available Bodies'!$A:$A, V6, 'Available Bodies'!$F:$F,DevMode!$B$5))</f>
        <v>0</v>
      </c>
      <c r="W10" s="189">
        <f>IF(OR($A$10="Unused",W6="Unused"),0,COUNTIFS('Available Bodies'!$A:$A, W6, 'Available Bodies'!$F:$F,DevMode!$B$5))</f>
        <v>0</v>
      </c>
      <c r="X10" s="189">
        <f>IF(OR($A$10="Unused",X6="Unused"),0,COUNTIFS('Available Bodies'!$A:$A, X6, 'Available Bodies'!$F:$F,DevMode!$B$5))</f>
        <v>0</v>
      </c>
      <c r="Y10" s="189">
        <f>IF(OR($A$10="Unused",Y6="Unused"),0,COUNTIFS('Available Bodies'!$A:$A, Y6, 'Available Bodies'!$F:$F,DevMode!$B$5))</f>
        <v>0</v>
      </c>
      <c r="Z10" s="189">
        <f>IF(OR($A$10="Unused",Z6="Unused"),0,COUNTIFS('Available Bodies'!$A:$A, Z6, 'Available Bodies'!$F:$F,DevMode!$B$5))</f>
        <v>0</v>
      </c>
      <c r="AA10" s="177">
        <f>IF(OR($A$10="Unused",AA6="Unused"),0,COUNTIFS('Available Bodies'!$A:$A, AA6, 'Available Bodies'!$F:$F,DevMode!$B$5))</f>
        <v>0</v>
      </c>
      <c r="AB10" s="104">
        <f t="shared" si="0"/>
        <v>0</v>
      </c>
      <c r="AD10" s="227" t="s">
        <v>51</v>
      </c>
      <c r="AE10" s="225" t="s">
        <v>53</v>
      </c>
      <c r="AF10" s="231" t="s">
        <v>52</v>
      </c>
      <c r="AG10" s="225" t="s">
        <v>49</v>
      </c>
      <c r="AH10" s="229" t="s">
        <v>54</v>
      </c>
      <c r="AJ10" s="154">
        <f>$AB$13</f>
        <v>0</v>
      </c>
      <c r="AK10" s="154" t="str">
        <f>IF(DevMode!A8="","Unused",DevMode!A8)</f>
        <v>SVC</v>
      </c>
    </row>
    <row r="11" spans="1:37" ht="15.75" thickBot="1" x14ac:dyDescent="0.3">
      <c r="A11" s="12" t="str">
        <f>IF(DevMode!A6="","Unused",DevMode!A6)</f>
        <v>GS</v>
      </c>
      <c r="B11" s="178">
        <f>IF(OR($A$11="Unused",B6="Unused"),0,COUNTIFS('Available Bodies'!$A:$A, B6, 'Available Bodies'!$F:$F,DevMode!$B$6))</f>
        <v>0</v>
      </c>
      <c r="C11" s="190">
        <f>IF(OR($A$11="Unused",C6="Unused"),0,COUNTIFS('Available Bodies'!$A:$A, C6, 'Available Bodies'!$F:$F,DevMode!$B$6))</f>
        <v>0</v>
      </c>
      <c r="D11" s="190">
        <f>IF(OR($A$11="Unused",D6="Unused"),0,COUNTIFS('Available Bodies'!$A:$A, D6, 'Available Bodies'!$F:$F,DevMode!$B$6))</f>
        <v>0</v>
      </c>
      <c r="E11" s="190">
        <f>IF(OR($A$11="Unused",E6="Unused"),0,COUNTIFS('Available Bodies'!$A:$A, E6, 'Available Bodies'!$F:$F,DevMode!$B$6))</f>
        <v>0</v>
      </c>
      <c r="F11" s="190">
        <f>IF(OR($A$11="Unused",F6="Unused"),0,COUNTIFS('Available Bodies'!$A:$A, F6, 'Available Bodies'!$F:$F,DevMode!$B$6))</f>
        <v>0</v>
      </c>
      <c r="G11" s="190">
        <f>IF(OR($A$11="Unused",G6="Unused"),0,COUNTIFS('Available Bodies'!$A:$A, G6, 'Available Bodies'!$F:$F,DevMode!$B$6))</f>
        <v>0</v>
      </c>
      <c r="H11" s="190">
        <f>IF(OR($A$11="Unused",H6="Unused"),0,COUNTIFS('Available Bodies'!$A:$A, H6, 'Available Bodies'!$F:$F,DevMode!$B$6))</f>
        <v>0</v>
      </c>
      <c r="I11" s="190">
        <f>IF(OR($A$11="Unused",I6="Unused"),0,COUNTIFS('Available Bodies'!$A:$A, I6, 'Available Bodies'!$F:$F,DevMode!$B$6))</f>
        <v>0</v>
      </c>
      <c r="J11" s="190">
        <f>IF(OR($A$11="Unused",J6="Unused"),0,COUNTIFS('Available Bodies'!$A:$A, J6, 'Available Bodies'!$F:$F,DevMode!$B$6))</f>
        <v>0</v>
      </c>
      <c r="K11" s="190">
        <f>IF(OR($A$11="Unused",K6="Unused"),0,COUNTIFS('Available Bodies'!$A:$A, K6, 'Available Bodies'!$F:$F,DevMode!$B$6))</f>
        <v>0</v>
      </c>
      <c r="L11" s="190">
        <f>IF(OR($A$11="Unused",L6="Unused"),0,COUNTIFS('Available Bodies'!$A:$A, L6, 'Available Bodies'!$F:$F,DevMode!$B$6))</f>
        <v>0</v>
      </c>
      <c r="M11" s="190">
        <f>IF(OR($A$11="Unused",M6="Unused"),0,COUNTIFS('Available Bodies'!$A:$A, M6, 'Available Bodies'!$F:$F,DevMode!$B$6))</f>
        <v>0</v>
      </c>
      <c r="N11" s="190">
        <f>IF(OR($A$11="Unused",N6="Unused"),0,COUNTIFS('Available Bodies'!$A:$A, N6, 'Available Bodies'!$F:$F,DevMode!$B$6))</f>
        <v>0</v>
      </c>
      <c r="O11" s="190">
        <f>IF(OR($A$11="Unused",O6="Unused"),0,COUNTIFS('Available Bodies'!$A:$A, O6, 'Available Bodies'!$F:$F,DevMode!$B$6))</f>
        <v>0</v>
      </c>
      <c r="P11" s="190">
        <f>IF(OR($A$11="Unused",P6="Unused"),0,COUNTIFS('Available Bodies'!$A:$A, P6, 'Available Bodies'!$F:$F,DevMode!$B$6))</f>
        <v>0</v>
      </c>
      <c r="Q11" s="190">
        <f>IF(OR($A$11="Unused",Q6="Unused"),0,COUNTIFS('Available Bodies'!$A:$A, Q6, 'Available Bodies'!$F:$F,DevMode!$B$6))</f>
        <v>0</v>
      </c>
      <c r="R11" s="190">
        <f>IF(OR($A$11="Unused",R6="Unused"),0,COUNTIFS('Available Bodies'!$A:$A, R6, 'Available Bodies'!$F:$F,DevMode!$B$6))</f>
        <v>0</v>
      </c>
      <c r="S11" s="190">
        <f>IF(OR($A$11="Unused",S6="Unused"),0,COUNTIFS('Available Bodies'!$A:$A, S6, 'Available Bodies'!$F:$F,DevMode!$B$6))</f>
        <v>0</v>
      </c>
      <c r="T11" s="190">
        <f>IF(OR($A$11="Unused",T6="Unused"),0,COUNTIFS('Available Bodies'!$A:$A, T6, 'Available Bodies'!$F:$F,DevMode!$B$6))</f>
        <v>0</v>
      </c>
      <c r="U11" s="190">
        <f>IF(OR($A$11="Unused",U6="Unused"),0,COUNTIFS('Available Bodies'!$A:$A, U6, 'Available Bodies'!$F:$F,DevMode!$B$6))</f>
        <v>0</v>
      </c>
      <c r="V11" s="190">
        <f>IF(OR($A$11="Unused",V6="Unused"),0,COUNTIFS('Available Bodies'!$A:$A, V6, 'Available Bodies'!$F:$F,DevMode!$B$6))</f>
        <v>0</v>
      </c>
      <c r="W11" s="190">
        <f>IF(OR($A$11="Unused",W6="Unused"),0,COUNTIFS('Available Bodies'!$A:$A, W6, 'Available Bodies'!$F:$F,DevMode!$B$6))</f>
        <v>0</v>
      </c>
      <c r="X11" s="190">
        <f>IF(OR($A$11="Unused",X6="Unused"),0,COUNTIFS('Available Bodies'!$A:$A, X6, 'Available Bodies'!$F:$F,DevMode!$B$6))</f>
        <v>0</v>
      </c>
      <c r="Y11" s="190">
        <f>IF(OR($A$11="Unused",Y6="Unused"),0,COUNTIFS('Available Bodies'!$A:$A, Y6, 'Available Bodies'!$F:$F,DevMode!$B$6))</f>
        <v>0</v>
      </c>
      <c r="Z11" s="190">
        <f>IF(OR($A$11="Unused",Z6="Unused"),0,COUNTIFS('Available Bodies'!$A:$A, Z6, 'Available Bodies'!$F:$F,DevMode!$B$6))</f>
        <v>0</v>
      </c>
      <c r="AA11" s="179">
        <f>IF(OR($A$11="Unused",AA6="Unused"),0,COUNTIFS('Available Bodies'!$A:$A, AA6, 'Available Bodies'!$F:$F,DevMode!$B$6))</f>
        <v>0</v>
      </c>
      <c r="AB11" s="104">
        <f t="shared" si="0"/>
        <v>0</v>
      </c>
      <c r="AD11" s="228"/>
      <c r="AE11" s="226"/>
      <c r="AF11" s="232"/>
      <c r="AG11" s="226"/>
      <c r="AH11" s="230"/>
    </row>
    <row r="12" spans="1:37" ht="15.75" thickBot="1" x14ac:dyDescent="0.3">
      <c r="A12" s="13" t="str">
        <f>IF(DevMode!A7="","Unused",DevMode!A7)</f>
        <v>HQ</v>
      </c>
      <c r="B12" s="180">
        <f>IF(OR($A$12="Unused",B6="Unused"),0,COUNTIFS('Available Bodies'!$A:$A, B6, 'Available Bodies'!$F:$F,DevMode!$B$7))</f>
        <v>0</v>
      </c>
      <c r="C12" s="191">
        <f>IF(OR($A$12="Unused",C6="Unused"),0,COUNTIFS('Available Bodies'!$A:$A, C6, 'Available Bodies'!$F:$F,DevMode!$B$7))</f>
        <v>0</v>
      </c>
      <c r="D12" s="191">
        <f>IF(OR($A$12="Unused",D6="Unused"),0,COUNTIFS('Available Bodies'!$A:$A, D6, 'Available Bodies'!$F:$F,DevMode!$B$7))</f>
        <v>0</v>
      </c>
      <c r="E12" s="191">
        <f>IF(OR($A$12="Unused",E6="Unused"),0,COUNTIFS('Available Bodies'!$A:$A, E6, 'Available Bodies'!$F:$F,DevMode!$B$7))</f>
        <v>0</v>
      </c>
      <c r="F12" s="191">
        <f>IF(OR($A$12="Unused",F6="Unused"),0,COUNTIFS('Available Bodies'!$A:$A, F6, 'Available Bodies'!$F:$F,DevMode!$B$7))</f>
        <v>0</v>
      </c>
      <c r="G12" s="191">
        <f>IF(OR($A$12="Unused",G6="Unused"),0,COUNTIFS('Available Bodies'!$A:$A, G6, 'Available Bodies'!$F:$F,DevMode!$B$7))</f>
        <v>0</v>
      </c>
      <c r="H12" s="191">
        <f>IF(OR($A$12="Unused",H6="Unused"),0,COUNTIFS('Available Bodies'!$A:$A, H6, 'Available Bodies'!$F:$F,DevMode!$B$7))</f>
        <v>0</v>
      </c>
      <c r="I12" s="191">
        <f>IF(OR($A$12="Unused",I6="Unused"),0,COUNTIFS('Available Bodies'!$A:$A, I6, 'Available Bodies'!$F:$F,DevMode!$B$7))</f>
        <v>0</v>
      </c>
      <c r="J12" s="191">
        <f>IF(OR($A$12="Unused",J6="Unused"),0,COUNTIFS('Available Bodies'!$A:$A, J6, 'Available Bodies'!$F:$F,DevMode!$B$7))</f>
        <v>0</v>
      </c>
      <c r="K12" s="191">
        <f>IF(OR($A$12="Unused",K6="Unused"),0,COUNTIFS('Available Bodies'!$A:$A, K6, 'Available Bodies'!$F:$F,DevMode!$B$7))</f>
        <v>0</v>
      </c>
      <c r="L12" s="191">
        <f>IF(OR($A$12="Unused",L6="Unused"),0,COUNTIFS('Available Bodies'!$A:$A, L6, 'Available Bodies'!$F:$F,DevMode!$B$7))</f>
        <v>0</v>
      </c>
      <c r="M12" s="191">
        <f>IF(OR($A$12="Unused",M6="Unused"),0,COUNTIFS('Available Bodies'!$A:$A, M6, 'Available Bodies'!$F:$F,DevMode!$B$7))</f>
        <v>0</v>
      </c>
      <c r="N12" s="191">
        <f>IF(OR($A$12="Unused",N6="Unused"),0,COUNTIFS('Available Bodies'!$A:$A, N6, 'Available Bodies'!$F:$F,DevMode!$B$7))</f>
        <v>0</v>
      </c>
      <c r="O12" s="191">
        <f>IF(OR($A$12="Unused",O6="Unused"),0,COUNTIFS('Available Bodies'!$A:$A, O6, 'Available Bodies'!$F:$F,DevMode!$B$7))</f>
        <v>0</v>
      </c>
      <c r="P12" s="191">
        <f>IF(OR($A$12="Unused",P6="Unused"),0,COUNTIFS('Available Bodies'!$A:$A, P6, 'Available Bodies'!$F:$F,DevMode!$B$7))</f>
        <v>0</v>
      </c>
      <c r="Q12" s="191">
        <f>IF(OR($A$12="Unused",Q6="Unused"),0,COUNTIFS('Available Bodies'!$A:$A, Q6, 'Available Bodies'!$F:$F,DevMode!$B$7))</f>
        <v>0</v>
      </c>
      <c r="R12" s="191">
        <f>IF(OR($A$12="Unused",R6="Unused"),0,COUNTIFS('Available Bodies'!$A:$A, R6, 'Available Bodies'!$F:$F,DevMode!$B$7))</f>
        <v>0</v>
      </c>
      <c r="S12" s="191">
        <f>IF(OR($A$12="Unused",S6="Unused"),0,COUNTIFS('Available Bodies'!$A:$A, S6, 'Available Bodies'!$F:$F,DevMode!$B$7))</f>
        <v>0</v>
      </c>
      <c r="T12" s="191">
        <f>IF(OR($A$12="Unused",T6="Unused"),0,COUNTIFS('Available Bodies'!$A:$A, T6, 'Available Bodies'!$F:$F,DevMode!$B$7))</f>
        <v>0</v>
      </c>
      <c r="U12" s="191">
        <f>IF(OR($A$12="Unused",U6="Unused"),0,COUNTIFS('Available Bodies'!$A:$A, U6, 'Available Bodies'!$F:$F,DevMode!$B$7))</f>
        <v>0</v>
      </c>
      <c r="V12" s="191">
        <f>IF(OR($A$12="Unused",V6="Unused"),0,COUNTIFS('Available Bodies'!$A:$A, V6, 'Available Bodies'!$F:$F,DevMode!$B$7))</f>
        <v>0</v>
      </c>
      <c r="W12" s="191">
        <f>IF(OR($A$12="Unused",W6="Unused"),0,COUNTIFS('Available Bodies'!$A:$A, W6, 'Available Bodies'!$F:$F,DevMode!$B$7))</f>
        <v>0</v>
      </c>
      <c r="X12" s="191">
        <f>IF(OR($A$12="Unused",X6="Unused"),0,COUNTIFS('Available Bodies'!$A:$A, X6, 'Available Bodies'!$F:$F,DevMode!$B$7))</f>
        <v>0</v>
      </c>
      <c r="Y12" s="191">
        <f>IF(OR($A$12="Unused",Y6="Unused"),0,COUNTIFS('Available Bodies'!$A:$A, Y6, 'Available Bodies'!$F:$F,DevMode!$B$7))</f>
        <v>0</v>
      </c>
      <c r="Z12" s="191">
        <f>IF(OR($A$12="Unused",Z6="Unused"),0,COUNTIFS('Available Bodies'!$A:$A, Z6, 'Available Bodies'!$F:$F,DevMode!$B$7))</f>
        <v>0</v>
      </c>
      <c r="AA12" s="181">
        <f>IF(OR($A$12="Unused",AA6="Unused"),0,COUNTIFS('Available Bodies'!$A:$A, AA6, 'Available Bodies'!$F:$F,DevMode!$B$7))</f>
        <v>0</v>
      </c>
      <c r="AB12" s="104">
        <f t="shared" si="0"/>
        <v>0</v>
      </c>
      <c r="AD12" s="14" t="str">
        <f>IF(DevMode!A2="","Unused",DevMode!A2)</f>
        <v>Alpha</v>
      </c>
      <c r="AE12" s="15">
        <f t="shared" ref="AE12:AE18" ca="1" si="1">IFERROR(IF(AH12="",SUM(T19/AB7),SUM(AH12/AB7)),0)</f>
        <v>0</v>
      </c>
      <c r="AF12" s="16">
        <f ca="1">IF(AD12="Unused",0,DAY(End)*SUM(IF(OFFSET(DevMode!A16,0,1)=TRUE,INDIRECT("DevMode!E"&amp;SUM(MATCH(DevMode!A16,DP_ResCount,0),1)),0),IF(OFFSET(DevMode!A17,0,1)=TRUE,INDIRECT("DevMode!E"&amp;SUM(MATCH(DevMode!A17,DP_ResCount,0),1)),0),IF(OFFSET(DevMode!A18,0,1)=TRUE,INDIRECT("DevMode!E"&amp;SUM(MATCH(DevMode!A18,DP_ResCount,0),1)),0),IF(OFFSET(DevMode!A19,0,1)=TRUE,INDIRECT("DevMode!E"&amp;SUM(MATCH(DevMode!A19,DP_ResCount,0),1)),0),IF(OFFSET(DevMode!A20,0,1)=TRUE,INDIRECT("DevMode!E"&amp;SUM(MATCH(DevMode!A20,DP_ResCount,0),1)),0),IF(OFFSET(DevMode!A21,0,1)=TRUE,INDIRECT("DevMode!E"&amp;SUM(MATCH(DevMode!A21,DP_ResCount,0),1)),0),IF(OFFSET(DevMode!A22,0,1)=TRUE,INDIRECT("DevMode!E"&amp;SUM(MATCH(DevMode!A22,DP_ResCount,0),1)),0),IF(OFFSET(DevMode!A23,0,1)=TRUE,INDIRECT("DevMode!E"&amp;SUM(MATCH(DevMode!A23,DP_ResCount,0),1)),0),IF(OFFSET(DevMode!A24,0,1)=TRUE,INDIRECT("DevMode!E"&amp;SUM(MATCH(DevMode!A24,DP_ResCount,0),1)),0)))</f>
        <v>279</v>
      </c>
      <c r="AG12" s="17">
        <f t="shared" ref="AG12:AG18" ca="1" si="2">IFERROR(IF(AH12="",SUM(T19/AF12),SUM(AH12/AF12)),0)</f>
        <v>0</v>
      </c>
      <c r="AH12" s="74"/>
    </row>
    <row r="13" spans="1:37" ht="15.75" thickBot="1" x14ac:dyDescent="0.3">
      <c r="A13" s="18" t="str">
        <f>IF(DevMode!A8="","Unused",DevMode!A8)</f>
        <v>SVC</v>
      </c>
      <c r="B13" s="182">
        <f>IF(OR($A$13="Unused",B6="Unused"),0,COUNTIFS('Available Bodies'!$A:$A, B6, 'Available Bodies'!$F:$F,DevMode!$B$8))</f>
        <v>0</v>
      </c>
      <c r="C13" s="193">
        <f>IF(OR($A$13="Unused",C6="Unused"),0,COUNTIFS('Available Bodies'!$A:$A, C6, 'Available Bodies'!$F:$F,DevMode!$B$8))</f>
        <v>0</v>
      </c>
      <c r="D13" s="193">
        <f>IF(OR($A$13="Unused",D6="Unused"),0,COUNTIFS('Available Bodies'!$A:$A, D6, 'Available Bodies'!$F:$F,DevMode!$B$8))</f>
        <v>0</v>
      </c>
      <c r="E13" s="193">
        <f>IF(OR($A$13="Unused",E6="Unused"),0,COUNTIFS('Available Bodies'!$A:$A, E6, 'Available Bodies'!$F:$F,DevMode!$B$8))</f>
        <v>0</v>
      </c>
      <c r="F13" s="193">
        <f>IF(OR($A$13="Unused",F6="Unused"),0,COUNTIFS('Available Bodies'!$A:$A, F6, 'Available Bodies'!$F:$F,DevMode!$B$8))</f>
        <v>0</v>
      </c>
      <c r="G13" s="193">
        <f>IF(OR($A$13="Unused",G6="Unused"),0,COUNTIFS('Available Bodies'!$A:$A, G6, 'Available Bodies'!$F:$F,DevMode!$B$8))</f>
        <v>0</v>
      </c>
      <c r="H13" s="193">
        <f>IF(OR($A$13="Unused",H6="Unused"),0,COUNTIFS('Available Bodies'!$A:$A, H6, 'Available Bodies'!$F:$F,DevMode!$B$8))</f>
        <v>0</v>
      </c>
      <c r="I13" s="193">
        <f>IF(OR($A$13="Unused",I6="Unused"),0,COUNTIFS('Available Bodies'!$A:$A, I6, 'Available Bodies'!$F:$F,DevMode!$B$8))</f>
        <v>0</v>
      </c>
      <c r="J13" s="193">
        <f>IF(OR($A$13="Unused",J6="Unused"),0,COUNTIFS('Available Bodies'!$A:$A, J6, 'Available Bodies'!$F:$F,DevMode!$B$8))</f>
        <v>0</v>
      </c>
      <c r="K13" s="193">
        <f>IF(OR($A$13="Unused",K6="Unused"),0,COUNTIFS('Available Bodies'!$A:$A, K6, 'Available Bodies'!$F:$F,DevMode!$B$8))</f>
        <v>0</v>
      </c>
      <c r="L13" s="193">
        <f>IF(OR($A$13="Unused",L6="Unused"),0,COUNTIFS('Available Bodies'!$A:$A, L6, 'Available Bodies'!$F:$F,DevMode!$B$8))</f>
        <v>0</v>
      </c>
      <c r="M13" s="193">
        <f>IF(OR($A$13="Unused",M6="Unused"),0,COUNTIFS('Available Bodies'!$A:$A, M6, 'Available Bodies'!$F:$F,DevMode!$B$8))</f>
        <v>0</v>
      </c>
      <c r="N13" s="193">
        <f>IF(OR($A$13="Unused",N6="Unused"),0,COUNTIFS('Available Bodies'!$A:$A, N6, 'Available Bodies'!$F:$F,DevMode!$B$8))</f>
        <v>0</v>
      </c>
      <c r="O13" s="193">
        <f>IF(OR($A$13="Unused",O6="Unused"),0,COUNTIFS('Available Bodies'!$A:$A, O6, 'Available Bodies'!$F:$F,DevMode!$B$8))</f>
        <v>0</v>
      </c>
      <c r="P13" s="193">
        <f>IF(OR($A$13="Unused",P6="Unused"),0,COUNTIFS('Available Bodies'!$A:$A, P6, 'Available Bodies'!$F:$F,DevMode!$B$8))</f>
        <v>0</v>
      </c>
      <c r="Q13" s="193">
        <f>IF(OR($A$13="Unused",Q6="Unused"),0,COUNTIFS('Available Bodies'!$A:$A, Q6, 'Available Bodies'!$F:$F,DevMode!$B$8))</f>
        <v>0</v>
      </c>
      <c r="R13" s="193">
        <f>IF(OR($A$13="Unused",R6="Unused"),0,COUNTIFS('Available Bodies'!$A:$A, R6, 'Available Bodies'!$F:$F,DevMode!$B$8))</f>
        <v>0</v>
      </c>
      <c r="S13" s="193">
        <f>IF(OR($A$13="Unused",S6="Unused"),0,COUNTIFS('Available Bodies'!$A:$A, S6, 'Available Bodies'!$F:$F,DevMode!$B$8))</f>
        <v>0</v>
      </c>
      <c r="T13" s="193">
        <f>IF(OR($A$13="Unused",T6="Unused"),0,COUNTIFS('Available Bodies'!$A:$A, T6, 'Available Bodies'!$F:$F,DevMode!$B$8))</f>
        <v>0</v>
      </c>
      <c r="U13" s="193">
        <f>IF(OR($A$13="Unused",U6="Unused"),0,COUNTIFS('Available Bodies'!$A:$A, U6, 'Available Bodies'!$F:$F,DevMode!$B$8))</f>
        <v>0</v>
      </c>
      <c r="V13" s="193">
        <f>IF(OR($A$13="Unused",V6="Unused"),0,COUNTIFS('Available Bodies'!$A:$A, V6, 'Available Bodies'!$F:$F,DevMode!$B$8))</f>
        <v>0</v>
      </c>
      <c r="W13" s="193">
        <f>IF(OR($A$13="Unused",W6="Unused"),0,COUNTIFS('Available Bodies'!$A:$A, W6, 'Available Bodies'!$F:$F,DevMode!$B$8))</f>
        <v>0</v>
      </c>
      <c r="X13" s="193">
        <f>IF(OR($A$13="Unused",X6="Unused"),0,COUNTIFS('Available Bodies'!$A:$A, X6, 'Available Bodies'!$F:$F,DevMode!$B$8))</f>
        <v>0</v>
      </c>
      <c r="Y13" s="193">
        <f>IF(OR($A$13="Unused",Y6="Unused"),0,COUNTIFS('Available Bodies'!$A:$A, Y6, 'Available Bodies'!$F:$F,DevMode!$B$8))</f>
        <v>0</v>
      </c>
      <c r="Z13" s="193">
        <f>IF(OR($A$13="Unused",Z6="Unused"),0,COUNTIFS('Available Bodies'!$A:$A, Z6, 'Available Bodies'!$F:$F,DevMode!$B$8))</f>
        <v>0</v>
      </c>
      <c r="AA13" s="183">
        <f>IF(OR($A$13="Unused",AA6="Unused"),0,COUNTIFS('Available Bodies'!$A:$A, AA6, 'Available Bodies'!$F:$F,DevMode!$B$8))</f>
        <v>0</v>
      </c>
      <c r="AB13" s="105">
        <f t="shared" si="0"/>
        <v>0</v>
      </c>
      <c r="AD13" s="19" t="str">
        <f>IF(DevMode!A3="","Unused",DevMode!A3)</f>
        <v>Bravo</v>
      </c>
      <c r="AE13" s="20">
        <f t="shared" ca="1" si="1"/>
        <v>0</v>
      </c>
      <c r="AF13" s="21">
        <f ca="1">IF(AD13="Unused",0,DAY(End)*SUM(IF(OFFSET(DevMode!A16,0,2)=TRUE,INDIRECT("DevMode!E"&amp;SUM(MATCH(DevMode!A16,DP_ResCount,0),1)),0),IF(OFFSET(DevMode!A17,0,2)=TRUE,INDIRECT("DevMode!E"&amp;SUM(MATCH(DevMode!A17,DP_ResCount,0),1)),0),IF(OFFSET(DevMode!A18,0,2)=TRUE,INDIRECT("DevMode!E"&amp;SUM(MATCH(DevMode!A18,DP_ResCount,0),1)),0),IF(OFFSET(DevMode!A19,0,2)=TRUE,INDIRECT("DevMode!E"&amp;SUM(MATCH(DevMode!A19,DP_ResCount,0),1)),0),IF(OFFSET(DevMode!A20,0,2)=TRUE,INDIRECT("DevMode!E"&amp;SUM(MATCH(DevMode!A20,DP_ResCount,0),1)),0),IF(OFFSET(DevMode!A21,0,2)=TRUE,INDIRECT("DevMode!E"&amp;SUM(MATCH(DevMode!A21,DP_ResCount,0),1)),0),IF(OFFSET(DevMode!A22,0,2)=TRUE,INDIRECT("DevMode!E"&amp;SUM(MATCH(DevMode!A22,DP_ResCount,0),1)),0),IF(OFFSET(DevMode!A23,0,2)=TRUE,INDIRECT("DevMode!E"&amp;SUM(MATCH(DevMode!A23,DP_ResCount,0),1)),0),IF(OFFSET(DevMode!A24,0,2)=TRUE,INDIRECT("DevMode!E"&amp;SUM(MATCH(DevMode!A24,DP_ResCount,0),1)),0)))</f>
        <v>217</v>
      </c>
      <c r="AG13" s="22">
        <f t="shared" ca="1" si="2"/>
        <v>0</v>
      </c>
      <c r="AH13" s="75"/>
    </row>
    <row r="14" spans="1:37" ht="15.75" thickBot="1" x14ac:dyDescent="0.3">
      <c r="A14" s="23" t="s">
        <v>28</v>
      </c>
      <c r="B14" s="100">
        <f>SUM(B7:B13)</f>
        <v>0</v>
      </c>
      <c r="C14" s="101">
        <f t="shared" ref="C14:AB14" si="3">SUM(C7:C13)</f>
        <v>0</v>
      </c>
      <c r="D14" s="101">
        <f t="shared" si="3"/>
        <v>0</v>
      </c>
      <c r="E14" s="101">
        <f t="shared" si="3"/>
        <v>0</v>
      </c>
      <c r="F14" s="101">
        <f t="shared" si="3"/>
        <v>0</v>
      </c>
      <c r="G14" s="101">
        <f t="shared" si="3"/>
        <v>0</v>
      </c>
      <c r="H14" s="101">
        <f t="shared" si="3"/>
        <v>0</v>
      </c>
      <c r="I14" s="101">
        <f t="shared" si="3"/>
        <v>0</v>
      </c>
      <c r="J14" s="101">
        <f t="shared" si="3"/>
        <v>0</v>
      </c>
      <c r="K14" s="101">
        <f t="shared" si="3"/>
        <v>0</v>
      </c>
      <c r="L14" s="101">
        <f t="shared" si="3"/>
        <v>0</v>
      </c>
      <c r="M14" s="101">
        <f t="shared" si="3"/>
        <v>0</v>
      </c>
      <c r="N14" s="101">
        <f t="shared" si="3"/>
        <v>0</v>
      </c>
      <c r="O14" s="101">
        <f t="shared" si="3"/>
        <v>0</v>
      </c>
      <c r="P14" s="101">
        <f t="shared" si="3"/>
        <v>0</v>
      </c>
      <c r="Q14" s="101">
        <f t="shared" si="3"/>
        <v>0</v>
      </c>
      <c r="R14" s="101">
        <f t="shared" si="3"/>
        <v>0</v>
      </c>
      <c r="S14" s="101">
        <f t="shared" si="3"/>
        <v>0</v>
      </c>
      <c r="T14" s="101">
        <f t="shared" si="3"/>
        <v>0</v>
      </c>
      <c r="U14" s="101">
        <f t="shared" si="3"/>
        <v>0</v>
      </c>
      <c r="V14" s="101">
        <f t="shared" si="3"/>
        <v>0</v>
      </c>
      <c r="W14" s="101">
        <f t="shared" si="3"/>
        <v>0</v>
      </c>
      <c r="X14" s="101">
        <f t="shared" si="3"/>
        <v>0</v>
      </c>
      <c r="Y14" s="101">
        <f t="shared" si="3"/>
        <v>0</v>
      </c>
      <c r="Z14" s="101">
        <f t="shared" si="3"/>
        <v>0</v>
      </c>
      <c r="AA14" s="102">
        <f t="shared" si="3"/>
        <v>0</v>
      </c>
      <c r="AB14" s="24">
        <f t="shared" si="3"/>
        <v>0</v>
      </c>
      <c r="AD14" s="25" t="str">
        <f>IF(DevMode!A4="","Unused",DevMode!A4)</f>
        <v>Charlie</v>
      </c>
      <c r="AE14" s="26">
        <f t="shared" ca="1" si="1"/>
        <v>0</v>
      </c>
      <c r="AF14" s="27">
        <f ca="1">IF(AD14="Unused",0,DAY(End)*SUM(IF(OFFSET(DevMode!A16,0,3)=TRUE,INDIRECT("DevMode!E"&amp;SUM(MATCH(DevMode!A16,DP_ResCount,0),1)),0),IF(OFFSET(DevMode!A17,0,3)=TRUE,INDIRECT("DevMode!E"&amp;SUM(MATCH(DevMode!A17,DP_ResCount,0),1)),0),IF(OFFSET(DevMode!A18,0,3)=TRUE,INDIRECT("DevMode!E"&amp;SUM(MATCH(DevMode!A18,DP_ResCount,0),1)),0),IF(OFFSET(DevMode!A19,0,3)=TRUE,INDIRECT("DevMode!E"&amp;SUM(MATCH(DevMode!A19,DP_ResCount,0),1)),0),IF(OFFSET(DevMode!A20,0,3)=TRUE,INDIRECT("DevMode!E"&amp;SUM(MATCH(DevMode!A20,DP_ResCount,0),1)),0),IF(OFFSET(DevMode!A21,0,3)=TRUE,INDIRECT("DevMode!E"&amp;SUM(MATCH(DevMode!A21,DP_ResCount,0),1)),0),IF(OFFSET(DevMode!A22,0,3)=TRUE,INDIRECT("DevMode!E"&amp;SUM(MATCH(DevMode!A22,DP_ResCount,0),1)),0),IF(OFFSET(DevMode!A23,0,3)=TRUE,INDIRECT("DevMode!E"&amp;SUM(MATCH(DevMode!A23,DP_ResCount,0),1)),0),IF(OFFSET(DevMode!A24,0,3)=TRUE,INDIRECT("DevMode!E"&amp;SUM(MATCH(DevMode!A24,DP_ResCount,0),1)),0)))</f>
        <v>217</v>
      </c>
      <c r="AG14" s="28">
        <f t="shared" ca="1" si="2"/>
        <v>0</v>
      </c>
      <c r="AH14" s="76"/>
    </row>
    <row r="15" spans="1:37" ht="15.75" thickBot="1" x14ac:dyDescent="0.3">
      <c r="A15" s="95"/>
      <c r="B15" s="94"/>
      <c r="C15" s="94"/>
      <c r="D15" s="94"/>
      <c r="E15" s="94"/>
      <c r="F15" s="94"/>
      <c r="G15" s="94"/>
      <c r="H15" s="94"/>
      <c r="I15" s="94"/>
      <c r="J15" s="94"/>
      <c r="K15" s="94"/>
      <c r="L15" s="94"/>
      <c r="M15" s="94"/>
      <c r="N15" s="94"/>
      <c r="O15" s="94"/>
      <c r="P15" s="94"/>
      <c r="Q15" s="94"/>
      <c r="R15" s="94"/>
      <c r="S15" s="94"/>
      <c r="T15" s="94"/>
      <c r="U15" s="94"/>
      <c r="V15" s="94"/>
      <c r="W15" s="94"/>
      <c r="X15" s="94"/>
      <c r="Y15" s="94"/>
      <c r="Z15" s="94"/>
      <c r="AA15" s="94"/>
      <c r="AB15" s="94"/>
      <c r="AD15" s="29" t="str">
        <f>IF(DevMode!A5="","Unused",DevMode!A5)</f>
        <v>Delta</v>
      </c>
      <c r="AE15" s="30">
        <f t="shared" ca="1" si="1"/>
        <v>0</v>
      </c>
      <c r="AF15" s="31">
        <f ca="1">IF(AD15="Unused",0,DAY(End)*SUM(IF(OFFSET(DevMode!A16,0,4)=TRUE,INDIRECT("DevMode!E"&amp;SUM(MATCH(DevMode!A16,DP_ResCount,0),1)),0),IF(OFFSET(DevMode!A17,0,4)=TRUE,INDIRECT("DevMode!E"&amp;SUM(MATCH(DevMode!A17,DP_ResCount,0),1)),0),IF(OFFSET(DevMode!A18,0,4)=TRUE,INDIRECT("DevMode!E"&amp;SUM(MATCH(DevMode!A18,DP_ResCount,0),1)),0),IF(OFFSET(DevMode!A19,0,4)=TRUE,INDIRECT("DevMode!E"&amp;SUM(MATCH(DevMode!A19,DP_ResCount,0),1)),0),IF(OFFSET(DevMode!A20,0,4)=TRUE,INDIRECT("DevMode!E"&amp;SUM(MATCH(DevMode!A20,DP_ResCount,0),1)),0),IF(OFFSET(DevMode!A21,0,4)=TRUE,INDIRECT("DevMode!E"&amp;SUM(MATCH(DevMode!A21,DP_ResCount,0),1)),0),IF(OFFSET(DevMode!A22,0,4)=TRUE,INDIRECT("DevMode!E"&amp;SUM(MATCH(DevMode!A22,DP_ResCount,0),1)),0),IF(OFFSET(DevMode!A23,0,4)=TRUE,INDIRECT("DevMode!E"&amp;SUM(MATCH(DevMode!A23,DP_ResCount,0),1)),0),IF(OFFSET(DevMode!A24,0,4)=TRUE,INDIRECT("DevMode!E"&amp;SUM(MATCH(DevMode!A24,DP_ResCount,0),1)),0)))</f>
        <v>93</v>
      </c>
      <c r="AG15" s="32">
        <f t="shared" ca="1" si="2"/>
        <v>0</v>
      </c>
      <c r="AH15" s="77"/>
    </row>
    <row r="16" spans="1:37" x14ac:dyDescent="0.25">
      <c r="A16" s="250" t="s">
        <v>78</v>
      </c>
      <c r="B16" s="251"/>
      <c r="C16" s="251"/>
      <c r="D16" s="251"/>
      <c r="E16" s="251"/>
      <c r="F16" s="251"/>
      <c r="G16" s="251"/>
      <c r="H16" s="251"/>
      <c r="I16" s="251"/>
      <c r="J16" s="251"/>
      <c r="K16" s="251"/>
      <c r="L16" s="251"/>
      <c r="M16" s="251"/>
      <c r="N16" s="251"/>
      <c r="O16" s="251"/>
      <c r="P16" s="251"/>
      <c r="Q16" s="251"/>
      <c r="R16" s="251"/>
      <c r="S16" s="251"/>
      <c r="T16" s="251"/>
      <c r="U16" s="251"/>
      <c r="V16" s="251"/>
      <c r="W16" s="251"/>
      <c r="X16" s="251"/>
      <c r="Y16" s="251"/>
      <c r="Z16" s="251"/>
      <c r="AA16" s="251"/>
      <c r="AB16" s="252"/>
      <c r="AD16" s="33" t="str">
        <f>IF(DevMode!A6="","Unused",DevMode!A6)</f>
        <v>GS</v>
      </c>
      <c r="AE16" s="34">
        <f t="shared" ca="1" si="1"/>
        <v>0</v>
      </c>
      <c r="AF16" s="35">
        <f ca="1">IF(AD16="Unused",0,DAY(End)*SUM(IF(OFFSET(DevMode!A16,0,5)=TRUE,INDIRECT("DevMode!E"&amp;SUM(MATCH(DevMode!A16,DP_ResCount,0),1)),0),IF(OFFSET(DevMode!A17,0,5)=TRUE,INDIRECT("DevMode!E"&amp;SUM(MATCH(DevMode!A17,DP_ResCount,0),1)),0),IF(OFFSET(DevMode!A18,0,5)=TRUE,INDIRECT("DevMode!E"&amp;SUM(MATCH(DevMode!A18,DP_ResCount,0),1)),0),IF(OFFSET(DevMode!A19,0,5)=TRUE,INDIRECT("DevMode!E"&amp;SUM(MATCH(DevMode!A19,DP_ResCount,0),1)),0),IF(OFFSET(DevMode!A20,0,5)=TRUE,INDIRECT("DevMode!E"&amp;SUM(MATCH(DevMode!A20,DP_ResCount,0),1)),0),IF(OFFSET(DevMode!A21,0,5)=TRUE,INDIRECT("DevMode!E"&amp;SUM(MATCH(DevMode!A21,DP_ResCount,0),1)),0),IF(OFFSET(DevMode!A22,0,5)=TRUE,INDIRECT("DevMode!E"&amp;SUM(MATCH(DevMode!A22,DP_ResCount,0),1)),0),IF(OFFSET(DevMode!A23,0,5)=TRUE,INDIRECT("DevMode!E"&amp;SUM(MATCH(DevMode!A23,DP_ResCount,0),1)),0),IF(OFFSET(DevMode!A24,0,5)=TRUE,INDIRECT("DevMode!E"&amp;SUM(MATCH(DevMode!A24,DP_ResCount,0),1)),0)))</f>
        <v>279</v>
      </c>
      <c r="AG16" s="36">
        <f t="shared" ca="1" si="2"/>
        <v>0</v>
      </c>
      <c r="AH16" s="78"/>
    </row>
    <row r="17" spans="1:37" ht="15.75" thickBot="1" x14ac:dyDescent="0.3">
      <c r="A17" s="253"/>
      <c r="B17" s="254"/>
      <c r="C17" s="254"/>
      <c r="D17" s="254"/>
      <c r="E17" s="254"/>
      <c r="F17" s="254"/>
      <c r="G17" s="254"/>
      <c r="H17" s="254"/>
      <c r="I17" s="254"/>
      <c r="J17" s="254"/>
      <c r="K17" s="254"/>
      <c r="L17" s="254"/>
      <c r="M17" s="254"/>
      <c r="N17" s="254"/>
      <c r="O17" s="254"/>
      <c r="P17" s="254"/>
      <c r="Q17" s="254"/>
      <c r="R17" s="254"/>
      <c r="S17" s="254"/>
      <c r="T17" s="255"/>
      <c r="U17" s="254"/>
      <c r="V17" s="254"/>
      <c r="W17" s="254"/>
      <c r="X17" s="254"/>
      <c r="Y17" s="254"/>
      <c r="Z17" s="254"/>
      <c r="AA17" s="254"/>
      <c r="AB17" s="256"/>
      <c r="AD17" s="37" t="str">
        <f>IF(DevMode!A7="","Unused",DevMode!A7)</f>
        <v>HQ</v>
      </c>
      <c r="AE17" s="38">
        <f t="shared" ca="1" si="1"/>
        <v>0</v>
      </c>
      <c r="AF17" s="39">
        <f ca="1">IF(AD17="Unused",0,DAY(End)*SUM(IF(OFFSET(DevMode!A16,0,6)=TRUE,INDIRECT("DevMode!E"&amp;SUM(MATCH(DevMode!A16,DP_ResCount,0),1)),0),IF(OFFSET(DevMode!A17,0,6)=TRUE,INDIRECT("DevMode!E"&amp;SUM(MATCH(DevMode!A17,DP_ResCount,0),1)),0),IF(OFFSET(DevMode!A18,0,6)=TRUE,INDIRECT("DevMode!E"&amp;SUM(MATCH(DevMode!A18,DP_ResCount,0),1)),0),IF(OFFSET(DevMode!A19,0,6)=TRUE,INDIRECT("DevMode!E"&amp;SUM(MATCH(DevMode!A19,DP_ResCount,0),1)),0),IF(OFFSET(DevMode!A20,0,6)=TRUE,INDIRECT("DevMode!E"&amp;SUM(MATCH(DevMode!A20,DP_ResCount,0),1)),0),IF(OFFSET(DevMode!A21,0,6)=TRUE,INDIRECT("DevMode!E"&amp;SUM(MATCH(DevMode!A21,DP_ResCount,0),1)),0),IF(OFFSET(DevMode!A22,0,6)=TRUE,INDIRECT("DevMode!E"&amp;SUM(MATCH(DevMode!A22,DP_ResCount,0),1)),0),IF(OFFSET(DevMode!A23,0,6)=TRUE,INDIRECT("DevMode!E"&amp;SUM(MATCH(DevMode!A23,DP_ResCount,0),1)),0),IF(OFFSET(DevMode!A24,0,6)=TRUE,INDIRECT("DevMode!E"&amp;SUM(MATCH(DevMode!A24,DP_ResCount,0),1)),0)))</f>
        <v>279</v>
      </c>
      <c r="AG17" s="40">
        <f t="shared" ca="1" si="2"/>
        <v>0</v>
      </c>
      <c r="AH17" s="79"/>
    </row>
    <row r="18" spans="1:37" ht="15.75" thickBot="1" x14ac:dyDescent="0.3">
      <c r="A18" s="41"/>
      <c r="B18" s="233" t="str">
        <f>IF(DevMode!D2="","Unused",DevMode!D2)</f>
        <v>OOD</v>
      </c>
      <c r="C18" s="234"/>
      <c r="D18" s="233" t="str">
        <f>IF(DevMode!D3="","Unused",DevMode!D3)</f>
        <v>AOOD</v>
      </c>
      <c r="E18" s="234"/>
      <c r="F18" s="233" t="str">
        <f>IF(DevMode!D4="","Unused",DevMode!D4)</f>
        <v>Duty Driver</v>
      </c>
      <c r="G18" s="234"/>
      <c r="H18" s="233" t="str">
        <f>IF(DevMode!D5="","Unused",DevMode!D5)</f>
        <v>DNCO (FC-370)</v>
      </c>
      <c r="I18" s="234"/>
      <c r="J18" s="233" t="str">
        <f>IF(DevMode!D6="","Unused",DevMode!D6)</f>
        <v>ADNCO (FC-370)</v>
      </c>
      <c r="K18" s="234"/>
      <c r="L18" s="233" t="str">
        <f>IF(DevMode!D7="","Unused",DevMode!D7)</f>
        <v>Rovers (FC-370)</v>
      </c>
      <c r="M18" s="234"/>
      <c r="N18" s="233" t="str">
        <f>IF(DevMode!D8="","Unused",DevMode!D8)</f>
        <v>DNCO (FC-481)</v>
      </c>
      <c r="O18" s="234"/>
      <c r="P18" s="233" t="str">
        <f>IF(DevMode!D9="","Unused",DevMode!D9)</f>
        <v>ADNCO (FC-481)</v>
      </c>
      <c r="Q18" s="234"/>
      <c r="R18" s="233" t="str">
        <f>IF(DevMode!D10="","Unused",DevMode!D10)</f>
        <v>Rovers (FC-481)</v>
      </c>
      <c r="S18" s="235"/>
      <c r="T18" s="42" t="s">
        <v>50</v>
      </c>
      <c r="U18" s="216" t="s">
        <v>120</v>
      </c>
      <c r="V18" s="217"/>
      <c r="W18" s="217"/>
      <c r="X18" s="217"/>
      <c r="Y18" s="217"/>
      <c r="Z18" s="217"/>
      <c r="AA18" s="217"/>
      <c r="AB18" s="218"/>
      <c r="AD18" s="43" t="str">
        <f>IF(DevMode!A8="","Unused",DevMode!A8)</f>
        <v>SVC</v>
      </c>
      <c r="AE18" s="44">
        <f t="shared" ca="1" si="1"/>
        <v>0</v>
      </c>
      <c r="AF18" s="45">
        <f ca="1">IF(AD18="Unused",0,DAY(End)*SUM(IF(OFFSET(DevMode!A16,0,7)=TRUE,INDIRECT("DevMode!E"&amp;SUM(MATCH(DevMode!A16,DP_ResCount,0),1)),0),IF(OFFSET(DevMode!A17,0,7)=TRUE,INDIRECT("DevMode!E"&amp;SUM(MATCH(DevMode!A17,DP_ResCount,0),1)),0),IF(OFFSET(DevMode!A18,0,7)=TRUE,INDIRECT("DevMode!E"&amp;SUM(MATCH(DevMode!A18,DP_ResCount,0),1)),0),IF(OFFSET(DevMode!A19,0,7)=TRUE,INDIRECT("DevMode!E"&amp;SUM(MATCH(DevMode!A19,DP_ResCount,0),1)),0),IF(OFFSET(DevMode!A20,0,7)=TRUE,INDIRECT("DevMode!E"&amp;SUM(MATCH(DevMode!A20,DP_ResCount,0),1)),0),IF(OFFSET(DevMode!A21,0,7)=TRUE,INDIRECT("DevMode!E"&amp;SUM(MATCH(DevMode!A21,DP_ResCount,0),1)),0),IF(OFFSET(DevMode!A22,0,7)=TRUE,INDIRECT("DevMode!E"&amp;SUM(MATCH(DevMode!A22,DP_ResCount,0),1)),0),IF(OFFSET(DevMode!A23,0,7)=TRUE,INDIRECT("DevMode!E"&amp;SUM(MATCH(DevMode!A23,DP_ResCount,0),1)),0),IF(OFFSET(DevMode!A24,0,7)=TRUE,INDIRECT("DevMode!E"&amp;SUM(MATCH(DevMode!A24,DP_ResCount,0),1)),0)))</f>
        <v>279</v>
      </c>
      <c r="AG18" s="46">
        <f t="shared" ca="1" si="2"/>
        <v>0</v>
      </c>
      <c r="AH18" s="80"/>
    </row>
    <row r="19" spans="1:37" ht="15.75" thickBot="1" x14ac:dyDescent="0.3">
      <c r="A19" s="7" t="str">
        <f>IF(DevMode!A2="","Unused",DevMode!A2)</f>
        <v>Alpha</v>
      </c>
      <c r="B19" s="47">
        <f ca="1">B29</f>
        <v>0</v>
      </c>
      <c r="C19" s="48">
        <f t="shared" ref="C19:C25" ca="1" si="4">IF(A19=$B$37, IF($C$36="High", C29-1,IF($C$36="Low", C29+1,C29)), C29)</f>
        <v>0</v>
      </c>
      <c r="D19" s="47">
        <f ca="1">D29</f>
        <v>0</v>
      </c>
      <c r="E19" s="48">
        <f t="shared" ref="E19:E25" ca="1" si="5">IF(A19=$D$37, IF($E$36="High", E29-1,IF($E$36="Low", E29+1,E29)), E29)</f>
        <v>0</v>
      </c>
      <c r="F19" s="47">
        <f ca="1">F29</f>
        <v>0</v>
      </c>
      <c r="G19" s="48">
        <f t="shared" ref="G19:G25" ca="1" si="6">IF(A19=$F$37, IF($G$36="High", G29-1,IF($G$36="Low", G29+1,G29)), G29)</f>
        <v>0</v>
      </c>
      <c r="H19" s="47">
        <f ca="1">H29</f>
        <v>0</v>
      </c>
      <c r="I19" s="48">
        <f t="shared" ref="I19:I25" ca="1" si="7">IF(A19=$H$37, IF($I$36="High", I29-1,IF($I$36="Low", I29+1,I29)), I29)</f>
        <v>0</v>
      </c>
      <c r="J19" s="47">
        <f ca="1">J29</f>
        <v>0</v>
      </c>
      <c r="K19" s="48">
        <f t="shared" ref="K19:K25" ca="1" si="8">IF(A19=$J$37, IF($K$36="High", K29-1,IF($K$36="Low", K29+1,K29)), K29)</f>
        <v>0</v>
      </c>
      <c r="L19" s="47">
        <f ca="1">L29</f>
        <v>0</v>
      </c>
      <c r="M19" s="48">
        <f t="shared" ref="M19:M25" ca="1" si="9">IF(A19=$L$37, IF($M$36="High", M29-1,IF($M$36="Low", M29+1,M29)), M29)</f>
        <v>0</v>
      </c>
      <c r="N19" s="47">
        <f ca="1">N29</f>
        <v>0</v>
      </c>
      <c r="O19" s="48">
        <f t="shared" ref="O19:O25" ca="1" si="10">IF(A19=$N$37, IF($O$36="High", O29-1,IF($O$36="Low", O29+1,O29)), O29)</f>
        <v>0</v>
      </c>
      <c r="P19" s="47">
        <f ca="1">P29</f>
        <v>0</v>
      </c>
      <c r="Q19" s="48">
        <f t="shared" ref="Q19:Q25" ca="1" si="11">IF(A19=$P$37, IF($Q$36="High", Q29-1,IF($Q$36="Low", Q29+1,Q29)), Q29)</f>
        <v>0</v>
      </c>
      <c r="R19" s="47">
        <f ca="1">R29</f>
        <v>0</v>
      </c>
      <c r="S19" s="48">
        <f t="shared" ref="S19:S25" ca="1" si="12">IF(A19=$R$37, IF($S$36="High", S29-1,IF($S$36="Low", S29+1,S29)), S29)</f>
        <v>0</v>
      </c>
      <c r="T19" s="108">
        <f t="shared" ref="T19:T25" ca="1" si="13">IF(AH12="",SUM(C19,E19,G19,I19,K19,M19,O19,Q19,S19),AH12)</f>
        <v>0</v>
      </c>
      <c r="U19" s="219"/>
      <c r="V19" s="220"/>
      <c r="W19" s="220"/>
      <c r="X19" s="220"/>
      <c r="Y19" s="220"/>
      <c r="Z19" s="220"/>
      <c r="AA19" s="220"/>
      <c r="AB19" s="221"/>
    </row>
    <row r="20" spans="1:37" ht="15.75" thickBot="1" x14ac:dyDescent="0.3">
      <c r="A20" s="9" t="str">
        <f>IF(DevMode!A3="","Unused",DevMode!A3)</f>
        <v>Bravo</v>
      </c>
      <c r="B20" s="49">
        <f t="shared" ref="B20:B25" ca="1" si="14">B30</f>
        <v>0</v>
      </c>
      <c r="C20" s="50">
        <f t="shared" ca="1" si="4"/>
        <v>0</v>
      </c>
      <c r="D20" s="49">
        <f t="shared" ref="D20:D25" ca="1" si="15">D30</f>
        <v>0</v>
      </c>
      <c r="E20" s="50">
        <f t="shared" ca="1" si="5"/>
        <v>0</v>
      </c>
      <c r="F20" s="49">
        <f t="shared" ref="F20:F25" ca="1" si="16">F30</f>
        <v>0</v>
      </c>
      <c r="G20" s="50">
        <f t="shared" ca="1" si="6"/>
        <v>0</v>
      </c>
      <c r="H20" s="49">
        <f t="shared" ref="H20:H25" ca="1" si="17">H30</f>
        <v>0</v>
      </c>
      <c r="I20" s="50">
        <f t="shared" ca="1" si="7"/>
        <v>0</v>
      </c>
      <c r="J20" s="49">
        <f t="shared" ref="J20:J25" ca="1" si="18">J30</f>
        <v>0</v>
      </c>
      <c r="K20" s="50">
        <f t="shared" ca="1" si="8"/>
        <v>0</v>
      </c>
      <c r="L20" s="49">
        <f t="shared" ref="L20:L25" ca="1" si="19">L30</f>
        <v>0</v>
      </c>
      <c r="M20" s="50">
        <f t="shared" ca="1" si="9"/>
        <v>0</v>
      </c>
      <c r="N20" s="49">
        <f t="shared" ref="N20:N25" ca="1" si="20">N30</f>
        <v>0</v>
      </c>
      <c r="O20" s="50">
        <f t="shared" ca="1" si="10"/>
        <v>0</v>
      </c>
      <c r="P20" s="49">
        <f t="shared" ref="P20:P25" ca="1" si="21">P30</f>
        <v>0</v>
      </c>
      <c r="Q20" s="50">
        <f t="shared" ca="1" si="11"/>
        <v>0</v>
      </c>
      <c r="R20" s="49">
        <f t="shared" ref="R20:R25" ca="1" si="22">R30</f>
        <v>0</v>
      </c>
      <c r="S20" s="50">
        <f t="shared" ca="1" si="12"/>
        <v>0</v>
      </c>
      <c r="T20" s="104">
        <f t="shared" ca="1" si="13"/>
        <v>0</v>
      </c>
      <c r="U20" s="219"/>
      <c r="V20" s="220"/>
      <c r="W20" s="220"/>
      <c r="X20" s="220"/>
      <c r="Y20" s="220"/>
      <c r="Z20" s="220"/>
      <c r="AA20" s="220"/>
      <c r="AB20" s="221"/>
    </row>
    <row r="21" spans="1:37" ht="15.75" thickBot="1" x14ac:dyDescent="0.3">
      <c r="A21" s="10" t="str">
        <f>IF(DevMode!A4="","Unused",DevMode!A4)</f>
        <v>Charlie</v>
      </c>
      <c r="B21" s="51">
        <f t="shared" ca="1" si="14"/>
        <v>0</v>
      </c>
      <c r="C21" s="52">
        <f t="shared" ca="1" si="4"/>
        <v>0</v>
      </c>
      <c r="D21" s="51">
        <f t="shared" ca="1" si="15"/>
        <v>0</v>
      </c>
      <c r="E21" s="52">
        <f t="shared" ca="1" si="5"/>
        <v>0</v>
      </c>
      <c r="F21" s="51">
        <f t="shared" ca="1" si="16"/>
        <v>0</v>
      </c>
      <c r="G21" s="52">
        <f t="shared" ca="1" si="6"/>
        <v>0</v>
      </c>
      <c r="H21" s="51">
        <f t="shared" ca="1" si="17"/>
        <v>0</v>
      </c>
      <c r="I21" s="52">
        <f t="shared" ca="1" si="7"/>
        <v>0</v>
      </c>
      <c r="J21" s="51">
        <f t="shared" ca="1" si="18"/>
        <v>0</v>
      </c>
      <c r="K21" s="52">
        <f t="shared" ca="1" si="8"/>
        <v>0</v>
      </c>
      <c r="L21" s="51">
        <f t="shared" ca="1" si="19"/>
        <v>0</v>
      </c>
      <c r="M21" s="52">
        <f t="shared" ca="1" si="9"/>
        <v>0</v>
      </c>
      <c r="N21" s="51">
        <f t="shared" ca="1" si="20"/>
        <v>0</v>
      </c>
      <c r="O21" s="52">
        <f t="shared" ca="1" si="10"/>
        <v>0</v>
      </c>
      <c r="P21" s="51">
        <f t="shared" ca="1" si="21"/>
        <v>0</v>
      </c>
      <c r="Q21" s="52">
        <f t="shared" ca="1" si="11"/>
        <v>0</v>
      </c>
      <c r="R21" s="51">
        <f t="shared" ca="1" si="22"/>
        <v>0</v>
      </c>
      <c r="S21" s="52">
        <f t="shared" ca="1" si="12"/>
        <v>0</v>
      </c>
      <c r="T21" s="104">
        <f t="shared" ca="1" si="13"/>
        <v>0</v>
      </c>
      <c r="U21" s="219"/>
      <c r="V21" s="220"/>
      <c r="W21" s="220"/>
      <c r="X21" s="220"/>
      <c r="Y21" s="220"/>
      <c r="Z21" s="220"/>
      <c r="AA21" s="220"/>
      <c r="AB21" s="221"/>
    </row>
    <row r="22" spans="1:37" ht="15.75" thickBot="1" x14ac:dyDescent="0.3">
      <c r="A22" s="11" t="str">
        <f>IF(DevMode!A5="","Unused",DevMode!A5)</f>
        <v>Delta</v>
      </c>
      <c r="B22" s="53">
        <f t="shared" ca="1" si="14"/>
        <v>0</v>
      </c>
      <c r="C22" s="54">
        <f t="shared" ca="1" si="4"/>
        <v>0</v>
      </c>
      <c r="D22" s="53">
        <f t="shared" ca="1" si="15"/>
        <v>0</v>
      </c>
      <c r="E22" s="54">
        <f t="shared" ca="1" si="5"/>
        <v>0</v>
      </c>
      <c r="F22" s="53">
        <f t="shared" ca="1" si="16"/>
        <v>0</v>
      </c>
      <c r="G22" s="54">
        <f t="shared" ca="1" si="6"/>
        <v>0</v>
      </c>
      <c r="H22" s="53">
        <f t="shared" ca="1" si="17"/>
        <v>0</v>
      </c>
      <c r="I22" s="54">
        <f t="shared" ca="1" si="7"/>
        <v>0</v>
      </c>
      <c r="J22" s="53">
        <f t="shared" ca="1" si="18"/>
        <v>0</v>
      </c>
      <c r="K22" s="54">
        <f t="shared" ca="1" si="8"/>
        <v>0</v>
      </c>
      <c r="L22" s="53">
        <f t="shared" ca="1" si="19"/>
        <v>0</v>
      </c>
      <c r="M22" s="54">
        <f t="shared" ca="1" si="9"/>
        <v>0</v>
      </c>
      <c r="N22" s="53">
        <f t="shared" ca="1" si="20"/>
        <v>0</v>
      </c>
      <c r="O22" s="54">
        <f t="shared" ca="1" si="10"/>
        <v>0</v>
      </c>
      <c r="P22" s="53">
        <f t="shared" ca="1" si="21"/>
        <v>0</v>
      </c>
      <c r="Q22" s="54">
        <f t="shared" ca="1" si="11"/>
        <v>0</v>
      </c>
      <c r="R22" s="53">
        <f t="shared" ca="1" si="22"/>
        <v>0</v>
      </c>
      <c r="S22" s="54">
        <f t="shared" ca="1" si="12"/>
        <v>0</v>
      </c>
      <c r="T22" s="104">
        <f t="shared" ca="1" si="13"/>
        <v>0</v>
      </c>
      <c r="U22" s="219"/>
      <c r="V22" s="220"/>
      <c r="W22" s="220"/>
      <c r="X22" s="220"/>
      <c r="Y22" s="220"/>
      <c r="Z22" s="220"/>
      <c r="AA22" s="220"/>
      <c r="AB22" s="221"/>
    </row>
    <row r="23" spans="1:37" ht="15.75" thickBot="1" x14ac:dyDescent="0.3">
      <c r="A23" s="12" t="str">
        <f>IF(DevMode!A6="","Unused",DevMode!A6)</f>
        <v>GS</v>
      </c>
      <c r="B23" s="55">
        <f t="shared" ca="1" si="14"/>
        <v>0</v>
      </c>
      <c r="C23" s="56">
        <f t="shared" ca="1" si="4"/>
        <v>0</v>
      </c>
      <c r="D23" s="55">
        <f t="shared" ca="1" si="15"/>
        <v>0</v>
      </c>
      <c r="E23" s="56">
        <f t="shared" ca="1" si="5"/>
        <v>0</v>
      </c>
      <c r="F23" s="55">
        <f t="shared" ca="1" si="16"/>
        <v>0</v>
      </c>
      <c r="G23" s="56">
        <f t="shared" ca="1" si="6"/>
        <v>0</v>
      </c>
      <c r="H23" s="55">
        <f t="shared" ca="1" si="17"/>
        <v>0</v>
      </c>
      <c r="I23" s="56">
        <f t="shared" ca="1" si="7"/>
        <v>0</v>
      </c>
      <c r="J23" s="55">
        <f t="shared" ca="1" si="18"/>
        <v>0</v>
      </c>
      <c r="K23" s="56">
        <f t="shared" ca="1" si="8"/>
        <v>0</v>
      </c>
      <c r="L23" s="55">
        <f t="shared" ca="1" si="19"/>
        <v>0</v>
      </c>
      <c r="M23" s="56">
        <f t="shared" ca="1" si="9"/>
        <v>0</v>
      </c>
      <c r="N23" s="55">
        <f t="shared" ca="1" si="20"/>
        <v>0</v>
      </c>
      <c r="O23" s="56">
        <f t="shared" ca="1" si="10"/>
        <v>0</v>
      </c>
      <c r="P23" s="55">
        <f t="shared" ca="1" si="21"/>
        <v>0</v>
      </c>
      <c r="Q23" s="56">
        <f t="shared" ca="1" si="11"/>
        <v>0</v>
      </c>
      <c r="R23" s="55">
        <f t="shared" ca="1" si="22"/>
        <v>0</v>
      </c>
      <c r="S23" s="56">
        <f t="shared" ca="1" si="12"/>
        <v>0</v>
      </c>
      <c r="T23" s="104">
        <f t="shared" ca="1" si="13"/>
        <v>0</v>
      </c>
      <c r="U23" s="219"/>
      <c r="V23" s="220"/>
      <c r="W23" s="220"/>
      <c r="X23" s="220"/>
      <c r="Y23" s="220"/>
      <c r="Z23" s="220"/>
      <c r="AA23" s="220"/>
      <c r="AB23" s="221"/>
    </row>
    <row r="24" spans="1:37" ht="15.75" thickBot="1" x14ac:dyDescent="0.3">
      <c r="A24" s="13" t="str">
        <f>IF(DevMode!A7="","Unused",DevMode!A7)</f>
        <v>HQ</v>
      </c>
      <c r="B24" s="57">
        <f t="shared" ca="1" si="14"/>
        <v>0</v>
      </c>
      <c r="C24" s="58">
        <f t="shared" ca="1" si="4"/>
        <v>0</v>
      </c>
      <c r="D24" s="57">
        <f t="shared" ca="1" si="15"/>
        <v>0</v>
      </c>
      <c r="E24" s="58">
        <f t="shared" ca="1" si="5"/>
        <v>0</v>
      </c>
      <c r="F24" s="57">
        <f t="shared" ca="1" si="16"/>
        <v>0</v>
      </c>
      <c r="G24" s="58">
        <f t="shared" ca="1" si="6"/>
        <v>0</v>
      </c>
      <c r="H24" s="57">
        <f t="shared" ca="1" si="17"/>
        <v>0</v>
      </c>
      <c r="I24" s="58">
        <f t="shared" ca="1" si="7"/>
        <v>0</v>
      </c>
      <c r="J24" s="57">
        <f t="shared" ca="1" si="18"/>
        <v>0</v>
      </c>
      <c r="K24" s="58">
        <f t="shared" ca="1" si="8"/>
        <v>0</v>
      </c>
      <c r="L24" s="57">
        <f t="shared" ca="1" si="19"/>
        <v>0</v>
      </c>
      <c r="M24" s="58">
        <f t="shared" ca="1" si="9"/>
        <v>0</v>
      </c>
      <c r="N24" s="57">
        <f t="shared" ca="1" si="20"/>
        <v>0</v>
      </c>
      <c r="O24" s="58">
        <f t="shared" ca="1" si="10"/>
        <v>0</v>
      </c>
      <c r="P24" s="57">
        <f t="shared" ca="1" si="21"/>
        <v>0</v>
      </c>
      <c r="Q24" s="58">
        <f t="shared" ca="1" si="11"/>
        <v>0</v>
      </c>
      <c r="R24" s="57">
        <f t="shared" ca="1" si="22"/>
        <v>0</v>
      </c>
      <c r="S24" s="58">
        <f t="shared" ca="1" si="12"/>
        <v>0</v>
      </c>
      <c r="T24" s="104">
        <f t="shared" ca="1" si="13"/>
        <v>0</v>
      </c>
      <c r="U24" s="219"/>
      <c r="V24" s="220"/>
      <c r="W24" s="220"/>
      <c r="X24" s="220"/>
      <c r="Y24" s="220"/>
      <c r="Z24" s="220"/>
      <c r="AA24" s="220"/>
      <c r="AB24" s="221"/>
    </row>
    <row r="25" spans="1:37" ht="15.75" thickBot="1" x14ac:dyDescent="0.3">
      <c r="A25" s="18" t="str">
        <f>IF(DevMode!A8="","Unused",DevMode!A8)</f>
        <v>SVC</v>
      </c>
      <c r="B25" s="59">
        <f t="shared" ca="1" si="14"/>
        <v>0</v>
      </c>
      <c r="C25" s="60">
        <f t="shared" ca="1" si="4"/>
        <v>0</v>
      </c>
      <c r="D25" s="59">
        <f t="shared" ca="1" si="15"/>
        <v>0</v>
      </c>
      <c r="E25" s="60">
        <f t="shared" ca="1" si="5"/>
        <v>0</v>
      </c>
      <c r="F25" s="59">
        <f t="shared" ca="1" si="16"/>
        <v>0</v>
      </c>
      <c r="G25" s="60">
        <f t="shared" ca="1" si="6"/>
        <v>0</v>
      </c>
      <c r="H25" s="59">
        <f t="shared" ca="1" si="17"/>
        <v>0</v>
      </c>
      <c r="I25" s="60">
        <f t="shared" ca="1" si="7"/>
        <v>0</v>
      </c>
      <c r="J25" s="59">
        <f t="shared" ca="1" si="18"/>
        <v>0</v>
      </c>
      <c r="K25" s="60">
        <f t="shared" ca="1" si="8"/>
        <v>0</v>
      </c>
      <c r="L25" s="59">
        <f t="shared" ca="1" si="19"/>
        <v>0</v>
      </c>
      <c r="M25" s="60">
        <f t="shared" ca="1" si="9"/>
        <v>0</v>
      </c>
      <c r="N25" s="59">
        <f t="shared" ca="1" si="20"/>
        <v>0</v>
      </c>
      <c r="O25" s="60">
        <f t="shared" ca="1" si="10"/>
        <v>0</v>
      </c>
      <c r="P25" s="59">
        <f t="shared" ca="1" si="21"/>
        <v>0</v>
      </c>
      <c r="Q25" s="60">
        <f t="shared" ca="1" si="11"/>
        <v>0</v>
      </c>
      <c r="R25" s="59">
        <f t="shared" ca="1" si="22"/>
        <v>0</v>
      </c>
      <c r="S25" s="60">
        <f t="shared" ca="1" si="12"/>
        <v>0</v>
      </c>
      <c r="T25" s="105">
        <f t="shared" ca="1" si="13"/>
        <v>0</v>
      </c>
      <c r="U25" s="219"/>
      <c r="V25" s="220"/>
      <c r="W25" s="220"/>
      <c r="X25" s="220"/>
      <c r="Y25" s="220"/>
      <c r="Z25" s="220"/>
      <c r="AA25" s="220"/>
      <c r="AB25" s="221"/>
    </row>
    <row r="26" spans="1:37" ht="15.75" thickBot="1" x14ac:dyDescent="0.3">
      <c r="A26" s="23" t="s">
        <v>28</v>
      </c>
      <c r="B26" s="106">
        <f ca="1">B36</f>
        <v>0</v>
      </c>
      <c r="C26" s="107">
        <f ca="1">SUM(C19:C25)</f>
        <v>0</v>
      </c>
      <c r="D26" s="106">
        <f t="shared" ref="D26:R26" ca="1" si="23">D36</f>
        <v>0</v>
      </c>
      <c r="E26" s="107">
        <f ca="1">SUM(E19:E25)</f>
        <v>0</v>
      </c>
      <c r="F26" s="106">
        <f t="shared" ca="1" si="23"/>
        <v>0</v>
      </c>
      <c r="G26" s="107">
        <f ca="1">SUM(G19:G25)</f>
        <v>0</v>
      </c>
      <c r="H26" s="106">
        <f t="shared" ca="1" si="23"/>
        <v>0</v>
      </c>
      <c r="I26" s="107">
        <f ca="1">SUM(I19:I25)</f>
        <v>0</v>
      </c>
      <c r="J26" s="106">
        <f t="shared" ca="1" si="23"/>
        <v>0</v>
      </c>
      <c r="K26" s="107">
        <f ca="1">SUM(K19:K25)</f>
        <v>0</v>
      </c>
      <c r="L26" s="106">
        <f t="shared" ca="1" si="23"/>
        <v>0</v>
      </c>
      <c r="M26" s="107">
        <f ca="1">SUM(M19:M25)</f>
        <v>0</v>
      </c>
      <c r="N26" s="106">
        <f t="shared" ca="1" si="23"/>
        <v>0</v>
      </c>
      <c r="O26" s="107">
        <f ca="1">SUM(O19:O25)</f>
        <v>0</v>
      </c>
      <c r="P26" s="106">
        <f t="shared" ca="1" si="23"/>
        <v>0</v>
      </c>
      <c r="Q26" s="107">
        <f ca="1">SUM(Q19:Q25)</f>
        <v>0</v>
      </c>
      <c r="R26" s="106">
        <f t="shared" ca="1" si="23"/>
        <v>0</v>
      </c>
      <c r="S26" s="102">
        <f ca="1">SUM(S19:S25)</f>
        <v>0</v>
      </c>
      <c r="T26" s="24">
        <f ca="1">SUM(T19:T25)</f>
        <v>0</v>
      </c>
      <c r="U26" s="222"/>
      <c r="V26" s="223"/>
      <c r="W26" s="223"/>
      <c r="X26" s="223"/>
      <c r="Y26" s="223"/>
      <c r="Z26" s="223"/>
      <c r="AA26" s="223"/>
      <c r="AB26" s="224"/>
    </row>
    <row r="27" spans="1:37" x14ac:dyDescent="0.25">
      <c r="AE27" s="184"/>
    </row>
    <row r="28" spans="1:37" s="156" customFormat="1" ht="15.75" hidden="1" thickBot="1" x14ac:dyDescent="0.3">
      <c r="A28" s="41"/>
      <c r="B28" s="233" t="str">
        <f>IF(DevMode!D2="","Unused",DevMode!D2)</f>
        <v>OOD</v>
      </c>
      <c r="C28" s="234"/>
      <c r="D28" s="233" t="str">
        <f>IF(DevMode!D3="","Unused",DevMode!D3)</f>
        <v>AOOD</v>
      </c>
      <c r="E28" s="234"/>
      <c r="F28" s="233" t="str">
        <f>IF(DevMode!D4="","Unused",DevMode!D4)</f>
        <v>Duty Driver</v>
      </c>
      <c r="G28" s="234"/>
      <c r="H28" s="233" t="str">
        <f>IF(DevMode!D5="","Unused",DevMode!D5)</f>
        <v>DNCO (FC-370)</v>
      </c>
      <c r="I28" s="234"/>
      <c r="J28" s="233" t="str">
        <f>IF(DevMode!D6="","Unused",DevMode!D6)</f>
        <v>ADNCO (FC-370)</v>
      </c>
      <c r="K28" s="234"/>
      <c r="L28" s="233" t="str">
        <f>IF(DevMode!D7="","Unused",DevMode!D7)</f>
        <v>Rovers (FC-370)</v>
      </c>
      <c r="M28" s="234"/>
      <c r="N28" s="233" t="str">
        <f>IF(DevMode!D8="","Unused",DevMode!D8)</f>
        <v>DNCO (FC-481)</v>
      </c>
      <c r="O28" s="234"/>
      <c r="P28" s="233" t="str">
        <f>IF(DevMode!D9="","Unused",DevMode!D9)</f>
        <v>ADNCO (FC-481)</v>
      </c>
      <c r="Q28" s="234"/>
      <c r="R28" s="233" t="str">
        <f>IF(DevMode!D10="","Unused",DevMode!D10)</f>
        <v>Rovers (FC-481)</v>
      </c>
      <c r="S28" s="234"/>
      <c r="T28" s="157"/>
      <c r="U28" s="157"/>
      <c r="V28" s="157"/>
      <c r="W28" s="157"/>
      <c r="X28" s="157"/>
      <c r="Y28" s="155"/>
      <c r="Z28" s="155"/>
      <c r="AA28" s="154"/>
      <c r="AB28" s="154"/>
      <c r="AC28" s="154"/>
      <c r="AD28" s="154"/>
      <c r="AE28" s="154"/>
      <c r="AF28" s="154"/>
      <c r="AG28" s="154"/>
      <c r="AH28" s="154"/>
      <c r="AI28" s="154"/>
      <c r="AJ28" s="154"/>
      <c r="AK28" s="154"/>
    </row>
    <row r="29" spans="1:37" s="156" customFormat="1" ht="15.75" hidden="1" thickBot="1" x14ac:dyDescent="0.3">
      <c r="A29" s="7" t="str">
        <f>IF(DevMode!A2="","Unused",DevMode!A2)</f>
        <v>Alpha</v>
      </c>
      <c r="B29" s="8">
        <f ca="1">IF(DevMode!B16=TRUE,SUM(IF(IFERROR(MATCH(B6,RankList_DP1,0)&gt;0,FALSE),OFFSET(B6,1,0),0),IF(IFERROR(MATCH(C6,RankList_DP1,0)&gt;0,FALSE),OFFSET(C6,1,0),0),IF(IFERROR(MATCH(D6,RankList_DP1,0)&gt;0,FALSE),OFFSET(D6,1,0),0),IF(IFERROR(MATCH(E6,RankList_DP1,0)&gt;0,FALSE),OFFSET(E6,1,0),0),IF(IFERROR(MATCH(F6,RankList_DP1,0)&gt;0,FALSE),OFFSET(F6,1,0),0),IF(IFERROR(MATCH(G6,RankList_DP1,0)&gt;0,FALSE),OFFSET(G6,1,0),0),IF(IFERROR(MATCH(H6,RankList_DP1,0)&gt;0,FALSE),OFFSET(H6,1,0),0),IF(IFERROR(MATCH(I6,RankList_DP1,0)&gt;0,FALSE),OFFSET(I6,1,0),0),IF(IFERROR(MATCH(J6,RankList_DP1,0)&gt;0,FALSE),OFFSET(J6,1,0),0),IF(IFERROR(MATCH(J6,RankList_DP1,0)&gt;0,FALSE),OFFSET(K6,1,0),0),IF(IFERROR(MATCH(L6,RankList_DP1,0)&gt;0,FALSE),OFFSET(L6,1,0),0),IF(IFERROR(MATCH(M6,RankList_DP1,0)&gt;0,FALSE),OFFSET(M6,1,0),0),IF(IFERROR(MATCH(N6,RankList_DP1,0)&gt;0,FALSE),OFFSET(N6,1,0),0),IF(IFERROR(MATCH(O6,RankList_DP1,0)&gt;0,FALSE),OFFSET(O6,1,0),0),IF(IFERROR(MATCH(P6,RankList_DP1,0)&gt;0,FALSE),OFFSET(P6,1,0),0),IF(IFERROR(MATCH(Q6,RankList_DP1,0)&gt;0,FALSE),OFFSET(Q6,1,0),0),IF(IFERROR(MATCH(R6,RankList_DP1,0)&gt;0,FALSE),OFFSET(R6,1,0),0),IF(IFERROR(MATCH(S6,RankList_DP1,0)&gt;0,FALSE),OFFSET(S6,1,0),0),IF(IFERROR(MATCH(T6,RankList_DP1,0)&gt;0,FALSE),OFFSET(T6,1,0),0),IF(IFERROR(MATCH(U6,RankList_DP1,0)&gt;0,FALSE),OFFSET(U6,1,0),0),IF(IFERROR(MATCH(V6,RankList_DP1,0)&gt;0,FALSE),OFFSET(V6,1,0),0),IF(IFERROR(MATCH(W6,RankList_DP1,0)&gt;0,FALSE),OFFSET(W6,1,0),0),IF(IFERROR(MATCH(X6,RankList_DP1,0)&gt;0,FALSE),OFFSET(X6,1,0),0),IF(IFERROR(MATCH(Y6,RankList_DP1,0)&gt;0,FALSE),OFFSET(Y6,1,0),0),IF(IFERROR(MATCH(Z6,RankList_DP1,0)&gt;0,FALSE),OFFSET(Z6,1,0),0),IF(IFERROR(MATCH(AA6,RankList_DP1,0)&gt;0,FALSE),OFFSET(AA6,1,0),0)),0)</f>
        <v>0</v>
      </c>
      <c r="C29" s="61">
        <f t="shared" ref="C29:C35" ca="1" si="24">ROUND(SUM($B$38*B29)/100,0)</f>
        <v>0</v>
      </c>
      <c r="D29" s="8">
        <f ca="1">IF(DevMode!B17=TRUE,SUM(IF(IFERROR(MATCH(B6,RankList_DP2,0)&gt;0,FALSE),OFFSET(B6,1,0),0),IF(IFERROR(MATCH(C6,RankList_DP2,0)&gt;0,FALSE),OFFSET(C6,1,0),0),IF(IFERROR(MATCH(D6,RankList_DP2,0)&gt;0,FALSE),OFFSET(D6,1,0),0),IF(IFERROR(MATCH(E6,RankList_DP2,0)&gt;0,FALSE),OFFSET(E6,1,0),0),IF(IFERROR(MATCH(F6,RankList_DP2,0)&gt;0,FALSE),OFFSET(F6,1,0),0),IF(IFERROR(MATCH(G6,RankList_DP2,0)&gt;0,FALSE),OFFSET(G6,1,0),0),IF(IFERROR(MATCH(H6,RankList_DP2,0)&gt;0,FALSE),OFFSET(H6,1,0),0),IF(IFERROR(MATCH(I6,RankList_DP2,0)&gt;0,FALSE),OFFSET(I6,1,0),0),IF(IFERROR(MATCH(J6,RankList_DP2,0)&gt;0,FALSE),OFFSET(J6,1,0),0),IF(IFERROR(MATCH(J6,RankList_DP2,0)&gt;0,FALSE),OFFSET(K6,1,0),0),IF(IFERROR(MATCH(L6,RankList_DP2,0)&gt;0,FALSE),OFFSET(L6,1,0),0),IF(IFERROR(MATCH(M6,RankList_DP2,0)&gt;0,FALSE),OFFSET(M6,1,0),0),IF(IFERROR(MATCH(N6,RankList_DP2,0)&gt;0,FALSE),OFFSET(N6,1,0),0),IF(IFERROR(MATCH(O6,RankList_DP2,0)&gt;0,FALSE),OFFSET(O6,1,0),0),IF(IFERROR(MATCH(P6,RankList_DP2,0)&gt;0,FALSE),OFFSET(P6,1,0),0),IF(IFERROR(MATCH(Q6,RankList_DP2,0)&gt;0,FALSE),OFFSET(Q6,1,0),0),IF(IFERROR(MATCH(R6,RankList_DP2,0)&gt;0,FALSE),OFFSET(R6,1,0),0),IF(IFERROR(MATCH(S6,RankList_DP2,0)&gt;0,FALSE),OFFSET(S6,1,0),0),IF(IFERROR(MATCH(T6,RankList_DP2,0)&gt;0,FALSE),OFFSET(T6,1,0),0),IF(IFERROR(MATCH(U6,RankList_DP2,0)&gt;0,FALSE),OFFSET(U6,1,0),0),IF(IFERROR(MATCH(V6,RankList_DP2,0)&gt;0,FALSE),OFFSET(V6,1,0),0),IF(IFERROR(MATCH(W6,RankList_DP2,0)&gt;0,FALSE),OFFSET(W6,1,0),0),IF(IFERROR(MATCH(X6,RankList_DP2,0)&gt;0,FALSE),OFFSET(X6,1,0),0),IF(IFERROR(MATCH(Y6,RankList_DP2,0)&gt;0,FALSE),OFFSET(Y6,1,0),0),IF(IFERROR(MATCH(Z6,RankList_DP2,0)&gt;0,FALSE),OFFSET(Z6,1,0),0),IF(IFERROR(MATCH(AA6,RankList_DP2,0)&gt;0,FALSE),OFFSET(AA6,1,0),0)),0)</f>
        <v>0</v>
      </c>
      <c r="E29" s="61">
        <f t="shared" ref="E29:E35" ca="1" si="25">ROUND(SUM($D$38*D29)/100,0)</f>
        <v>0</v>
      </c>
      <c r="F29" s="8">
        <f ca="1">IF(DevMode!A2="",0,IF(DevMode!B18=TRUE,SUM(IF(IFERROR(MATCH(B6,RankList_DP3,0)&gt;0,FALSE),OFFSET(B6,1,0),0),IF(IFERROR(MATCH(C6,RankList_DP3,0)&gt;0,FALSE),OFFSET(C6,1,0),0),IF(IFERROR(MATCH(D6,RankList_DP3,0)&gt;0,FALSE),OFFSET(D6,1,0),0),IF(IFERROR(MATCH(E6,RankList_DP3,0)&gt;0,FALSE),OFFSET(E6,1,0),0),IF(IFERROR(MATCH(F6,RankList_DP3,0)&gt;0,FALSE),OFFSET(F6,1,0),0),IF(IFERROR(MATCH(G6,RankList_DP3,0)&gt;0,FALSE),OFFSET(G6,1,0),0),IF(IFERROR(MATCH(H6,RankList_DP3,0)&gt;0,FALSE),OFFSET(H6,1,0),0),IF(IFERROR(MATCH(I6,RankList_DP3,0)&gt;0,FALSE),OFFSET(I6,1,0),0),IF(IFERROR(MATCH(J6,RankList_DP3,0)&gt;0,FALSE),OFFSET(J6,1,0),0),IF(IFERROR(MATCH(J6,RankList_DP3,0)&gt;0,FALSE),OFFSET(K6,1,0),0),IF(IFERROR(MATCH(L6,RankList_DP3,0)&gt;0,FALSE),OFFSET(L6,1,0),0),IF(IFERROR(MATCH(M6,RankList_DP3,0)&gt;0,FALSE),OFFSET(M6,1,0),0),IF(IFERROR(MATCH(N6,RankList_DP3,0)&gt;0,FALSE),OFFSET(N6,1,0),0),IF(IFERROR(MATCH(O6,RankList_DP3,0)&gt;0,FALSE),OFFSET(O6,1,0),0),IF(IFERROR(MATCH(P6,RankList_DP3,0)&gt;0,FALSE),OFFSET(P6,1,0),0),IF(IFERROR(MATCH(Q6,RankList_DP3,0)&gt;0,FALSE),OFFSET(Q6,1,0),0),IF(IFERROR(MATCH(R6,RankList_DP3,0)&gt;0,FALSE),OFFSET(R6,1,0),0),IF(IFERROR(MATCH(S6,RankList_DP3,0)&gt;0,FALSE),OFFSET(S6,1,0),0),IF(IFERROR(MATCH(T6,RankList_DP3,0)&gt;0,FALSE),OFFSET(T6,1,0),0),IF(IFERROR(MATCH(U6,RankList_DP3,0)&gt;0,FALSE),OFFSET(U6,1,0),0),IF(IFERROR(MATCH(V6,RankList_DP3,0)&gt;0,FALSE),OFFSET(V6,1,0),0),IF(IFERROR(MATCH(W6,RankList_DP3,0)&gt;0,FALSE),OFFSET(W6,1,0),0),IF(IFERROR(MATCH(X6,RankList_DP3,0)&gt;0,FALSE),OFFSET(X6,1,0),0),IF(IFERROR(MATCH(Y6,RankList_DP3,0)&gt;0,FALSE),OFFSET(Y6,1,0),0),IF(IFERROR(MATCH(Z6,RankList_DP3,0)&gt;0,FALSE),OFFSET(Z6,1,0),0),IF(IFERROR(MATCH(AA6,RankList_DP3,0)&gt;0,FALSE),OFFSET(AA6,1,0),0)),0))</f>
        <v>0</v>
      </c>
      <c r="G29" s="61">
        <f t="shared" ref="G29:G35" ca="1" si="26">ROUND(SUM($F$38*F29)/100,0)</f>
        <v>0</v>
      </c>
      <c r="H29" s="8">
        <f ca="1">IF(DevMode!B19=TRUE,SUM(IF(IFERROR(MATCH(B6,RankList_DP4,0)&gt;0,FALSE),OFFSET(B6,1,0),0),IF(IFERROR(MATCH(C6,RankList_DP4,0)&gt;0,FALSE),OFFSET(C6,1,0),0),IF(IFERROR(MATCH(D6,RankList_DP4,0)&gt;0,FALSE),OFFSET(D6,1,0),0),IF(IFERROR(MATCH(E6,RankList_DP4,0)&gt;0,FALSE),OFFSET(E6,1,0),0),IF(IFERROR(MATCH(F6,RankList_DP4,0)&gt;0,FALSE),OFFSET(F6,1,0),0),IF(IFERROR(MATCH(G6,RankList_DP4,0)&gt;0,FALSE),OFFSET(G6,1,0),0),IF(IFERROR(MATCH(H6,RankList_DP4,0)&gt;0,FALSE),OFFSET(H6,1,0),0),IF(IFERROR(MATCH(I6,RankList_DP4,0)&gt;0,FALSE),OFFSET(I6,1,0),0),IF(IFERROR(MATCH(J6,RankList_DP4,0)&gt;0,FALSE),OFFSET(J6,1,0),0),IF(IFERROR(MATCH(J6,RankList_DP4,0)&gt;0,FALSE),OFFSET(K6,1,0),0),IF(IFERROR(MATCH(L6,RankList_DP4,0)&gt;0,FALSE),OFFSET(L6,1,0),0),IF(IFERROR(MATCH(M6,RankList_DP4,0)&gt;0,FALSE),OFFSET(M6,1,0),0),IF(IFERROR(MATCH(N6,RankList_DP4,0)&gt;0,FALSE),OFFSET(N6,1,0),0),IF(IFERROR(MATCH(O6,RankList_DP4,0)&gt;0,FALSE),OFFSET(O6,1,0),0),IF(IFERROR(MATCH(P6,RankList_DP4,0)&gt;0,FALSE),OFFSET(P6,1,0),0),IF(IFERROR(MATCH(Q6,RankList_DP4,0)&gt;0,FALSE),OFFSET(Q6,1,0),0),IF(IFERROR(MATCH(R6,RankList_DP4,0)&gt;0,FALSE),OFFSET(R6,1,0),0),IF(IFERROR(MATCH(S6,RankList_DP4,0)&gt;0,FALSE),OFFSET(S6,1,0),0),IF(IFERROR(MATCH(T6,RankList_DP4,0)&gt;0,FALSE),OFFSET(T6,1,0),0),IF(IFERROR(MATCH(U6,RankList_DP4,0)&gt;0,FALSE),OFFSET(U6,1,0),0),IF(IFERROR(MATCH(V6,RankList_DP4,0)&gt;0,FALSE),OFFSET(V6,1,0),0),IF(IFERROR(MATCH(W6,RankList_DP4,0)&gt;0,FALSE),OFFSET(W6,1,0),0),IF(IFERROR(MATCH(X6,RankList_DP4,0)&gt;0,FALSE),OFFSET(X6,1,0),0),IF(IFERROR(MATCH(Y6,RankList_DP4,0)&gt;0,FALSE),OFFSET(Y6,1,0),0),IF(IFERROR(MATCH(Z6,RankList_DP4,0)&gt;0,FALSE),OFFSET(Z6,1,0),0),IF(IFERROR(MATCH(AA6,RankList_DP4,0)&gt;0,FALSE),OFFSET(AA6,1,0),0)),0)</f>
        <v>0</v>
      </c>
      <c r="I29" s="61">
        <f t="shared" ref="I29:I35" ca="1" si="27">ROUND(SUM($H$38*H29)/100,0)</f>
        <v>0</v>
      </c>
      <c r="J29" s="8">
        <f ca="1">IF(DevMode!B20=TRUE,SUM(IF(IFERROR(MATCH(B6,RankList_DP5,0)&gt;0,FALSE),OFFSET(B6,1,0),0),IF(IFERROR(MATCH(C6,RankList_DP5,0)&gt;0,FALSE),OFFSET(C6,1,0),0),IF(IFERROR(MATCH(D6,RankList_DP5,0)&gt;0,FALSE),OFFSET(D6,1,0),0),IF(IFERROR(MATCH(E6,RankList_DP5,0)&gt;0,FALSE),OFFSET(E6,1,0),0),IF(IFERROR(MATCH(F6,RankList_DP5,0)&gt;0,FALSE),OFFSET(F6,1,0),0),IF(IFERROR(MATCH(G6,RankList_DP5,0)&gt;0,FALSE),OFFSET(G6,1,0),0),IF(IFERROR(MATCH(H6,RankList_DP5,0)&gt;0,FALSE),OFFSET(H6,1,0),0),IF(IFERROR(MATCH(I6,RankList_DP5,0)&gt;0,FALSE),OFFSET(I6,1,0),0),IF(IFERROR(MATCH(J6,RankList_DP5,0)&gt;0,FALSE),OFFSET(J6,1,0),0),IF(IFERROR(MATCH(J6,RankList_DP5,0)&gt;0,FALSE),OFFSET(K6,1,0),0),IF(IFERROR(MATCH(L6,RankList_DP5,0)&gt;0,FALSE),OFFSET(L6,1,0),0),IF(IFERROR(MATCH(M6,RankList_DP5,0)&gt;0,FALSE),OFFSET(M6,1,0),0),IF(IFERROR(MATCH(N6,RankList_DP5,0)&gt;0,FALSE),OFFSET(N6,1,0),0),IF(IFERROR(MATCH(O6,RankList_DP5,0)&gt;0,FALSE),OFFSET(O6,1,0),0),IF(IFERROR(MATCH(P6,RankList_DP5,0)&gt;0,FALSE),OFFSET(P6,1,0),0),IF(IFERROR(MATCH(Q6,RankList_DP5,0)&gt;0,FALSE),OFFSET(Q6,1,0),0),IF(IFERROR(MATCH(R6,RankList_DP5,0)&gt;0,FALSE),OFFSET(R6,1,0),0),IF(IFERROR(MATCH(S6,RankList_DP5,0)&gt;0,FALSE),OFFSET(S6,1,0),0),IF(IFERROR(MATCH(T6,RankList_DP5,0)&gt;0,FALSE),OFFSET(T6,1,0),0),IF(IFERROR(MATCH(U6,RankList_DP5,0)&gt;0,FALSE),OFFSET(U6,1,0),0),IF(IFERROR(MATCH(V6,RankList_DP5,0)&gt;0,FALSE),OFFSET(V6,1,0),0),IF(IFERROR(MATCH(W6,RankList_DP5,0)&gt;0,FALSE),OFFSET(W6,1,0),0),IF(IFERROR(MATCH(X6,RankList_DP5,0)&gt;0,FALSE),OFFSET(X6,1,0),0),IF(IFERROR(MATCH(Y6,RankList_DP5,0)&gt;0,FALSE),OFFSET(Y6,1,0),0),IF(IFERROR(MATCH(Z6,RankList_DP5,0)&gt;0,FALSE),OFFSET(Z6,1,0),0),IF(IFERROR(MATCH(AA6,RankList_DP5,0)&gt;0,FALSE),OFFSET(AA6,1,0),0)),0)</f>
        <v>0</v>
      </c>
      <c r="K29" s="61">
        <f t="shared" ref="K29:K35" ca="1" si="28">ROUND(SUM($J$38*J29)/100,0)</f>
        <v>0</v>
      </c>
      <c r="L29" s="8">
        <f ca="1">IF(DevMode!B21=TRUE,SUM(IF(IFERROR(MATCH(B6,RankList_DP6,0)&gt;0,FALSE),OFFSET(B6,1,0),0),IF(IFERROR(MATCH(C6,RankList_DP6,0)&gt;0,FALSE),OFFSET(C6,1,0),0),IF(IFERROR(MATCH(D6,RankList_DP6,0)&gt;0,FALSE),OFFSET(D6,1,0),0),IF(IFERROR(MATCH(E6,RankList_DP6,0)&gt;0,FALSE),OFFSET(E6,1,0),0),IF(IFERROR(MATCH(F6,RankList_DP6,0)&gt;0,FALSE),OFFSET(F6,1,0),0),IF(IFERROR(MATCH(G6,RankList_DP6,0)&gt;0,FALSE),OFFSET(G6,1,0),0),IF(IFERROR(MATCH(H6,RankList_DP6,0)&gt;0,FALSE),OFFSET(H6,1,0),0),IF(IFERROR(MATCH(I6,RankList_DP6,0)&gt;0,FALSE),OFFSET(I6,1,0),0),IF(IFERROR(MATCH(J6,RankList_DP6,0)&gt;0,FALSE),OFFSET(J6,1,0),0),IF(IFERROR(MATCH(J6,RankList_DP6,0)&gt;0,FALSE),OFFSET(K6,1,0),0),IF(IFERROR(MATCH(L6,RankList_DP6,0)&gt;0,FALSE),OFFSET(L6,1,0),0),IF(IFERROR(MATCH(M6,RankList_DP6,0)&gt;0,FALSE),OFFSET(M6,1,0),0),IF(IFERROR(MATCH(N6,RankList_DP6,0)&gt;0,FALSE),OFFSET(N6,1,0),0),IF(IFERROR(MATCH(O6,RankList_DP6,0)&gt;0,FALSE),OFFSET(O6,1,0),0),IF(IFERROR(MATCH(P6,RankList_DP6,0)&gt;0,FALSE),OFFSET(P6,1,0),0),IF(IFERROR(MATCH(Q6,RankList_DP6,0)&gt;0,FALSE),OFFSET(Q6,1,0),0),IF(IFERROR(MATCH(R6,RankList_DP6,0)&gt;0,FALSE),OFFSET(R6,1,0),0),IF(IFERROR(MATCH(S6,RankList_DP6,0)&gt;0,FALSE),OFFSET(S6,1,0),0),IF(IFERROR(MATCH(T6,RankList_DP6,0)&gt;0,FALSE),OFFSET(T6,1,0),0),IF(IFERROR(MATCH(U6,RankList_DP6,0)&gt;0,FALSE),OFFSET(U6,1,0),0),IF(IFERROR(MATCH(V6,RankList_DP6,0)&gt;0,FALSE),OFFSET(V6,1,0),0),IF(IFERROR(MATCH(W6,RankList_DP6,0)&gt;0,FALSE),OFFSET(W6,1,0),0),IF(IFERROR(MATCH(X6,RankList_DP6,0)&gt;0,FALSE),OFFSET(X6,1,0),0),IF(IFERROR(MATCH(Y6,RankList_DP6,0)&gt;0,FALSE),OFFSET(Y6,1,0),0),IF(IFERROR(MATCH(Z6,RankList_DP6,0)&gt;0,FALSE),OFFSET(Z6,1,0),0),IF(IFERROR(MATCH(AA6,RankList_DP6,0)&gt;0,FALSE),OFFSET(AA6,1,0),0)),0)</f>
        <v>0</v>
      </c>
      <c r="M29" s="61">
        <f t="shared" ref="M29:M35" ca="1" si="29">ROUND(SUM($L$38*L29)/100,0)</f>
        <v>0</v>
      </c>
      <c r="N29" s="8">
        <f ca="1">IF(DevMode!B22=TRUE,SUM(IF(IFERROR(MATCH(B6,RankList_DP7,0)&gt;0,FALSE),OFFSET(B6,1,0),0),IF(IFERROR(MATCH(C6,RankList_DP7,0)&gt;0,FALSE),OFFSET(C6,1,0),0),IF(IFERROR(MATCH(D6,RankList_DP7,0)&gt;0,FALSE),OFFSET(D6,1,0),0),IF(IFERROR(MATCH(E6,RankList_DP7,0)&gt;0,FALSE),OFFSET(E6,1,0),0),IF(IFERROR(MATCH(F6,RankList_DP7,0)&gt;0,FALSE),OFFSET(F6,1,0),0),IF(IFERROR(MATCH(G6,RankList_DP7,0)&gt;0,FALSE),OFFSET(G6,1,0),0),IF(IFERROR(MATCH(H6,RankList_DP7,0)&gt;0,FALSE),OFFSET(H6,1,0),0),IF(IFERROR(MATCH(I6,RankList_DP7,0)&gt;0,FALSE),OFFSET(I6,1,0),0),IF(IFERROR(MATCH(J6,RankList_DP7,0)&gt;0,FALSE),OFFSET(J6,1,0),0),IF(IFERROR(MATCH(J6,RankList_DP7,0)&gt;0,FALSE),OFFSET(K6,1,0),0),IF(IFERROR(MATCH(L6,RankList_DP7,0)&gt;0,FALSE),OFFSET(L6,1,0),0),IF(IFERROR(MATCH(M6,RankList_DP7,0)&gt;0,FALSE),OFFSET(M6,1,0),0),IF(IFERROR(MATCH(N6,RankList_DP7,0)&gt;0,FALSE),OFFSET(N6,1,0),0),IF(IFERROR(MATCH(O6,RankList_DP7,0)&gt;0,FALSE),OFFSET(O6,1,0),0),IF(IFERROR(MATCH(P6,RankList_DP7,0)&gt;0,FALSE),OFFSET(P6,1,0),0),IF(IFERROR(MATCH(Q6,RankList_DP7,0)&gt;0,FALSE),OFFSET(Q6,1,0),0),IF(IFERROR(MATCH(R6,RankList_DP7,0)&gt;0,FALSE),OFFSET(R6,1,0),0),IF(IFERROR(MATCH(S6,RankList_DP7,0)&gt;0,FALSE),OFFSET(S6,1,0),0),IF(IFERROR(MATCH(T6,RankList_DP7,0)&gt;0,FALSE),OFFSET(T6,1,0),0),IF(IFERROR(MATCH(U6,RankList_DP7,0)&gt;0,FALSE),OFFSET(U6,1,0),0),IF(IFERROR(MATCH(V6,RankList_DP7,0)&gt;0,FALSE),OFFSET(V6,1,0),0),IF(IFERROR(MATCH(W6,RankList_DP7,0)&gt;0,FALSE),OFFSET(W6,1,0),0),IF(IFERROR(MATCH(X6,RankList_DP7,0)&gt;0,FALSE),OFFSET(X6,1,0),0),IF(IFERROR(MATCH(Y6,RankList_DP7,0)&gt;0,FALSE),OFFSET(Y6,1,0),0),IF(IFERROR(MATCH(Z6,RankList_DP7,0)&gt;0,FALSE),OFFSET(Z6,1,0),0),IF(IFERROR(MATCH(AA6,RankList_DP7,0)&gt;0,FALSE),OFFSET(AA6,1,0),0)),0)</f>
        <v>0</v>
      </c>
      <c r="O29" s="61">
        <f t="shared" ref="O29:O35" ca="1" si="30">ROUND(SUM($N$38*N29)/100,0)</f>
        <v>0</v>
      </c>
      <c r="P29" s="8">
        <f ca="1">IF(DevMode!B23=TRUE,SUM(IF(IFERROR(MATCH(B6,RankList_DP8,0)&gt;0,FALSE),OFFSET(B6,1,0),0),IF(IFERROR(MATCH(C6,RankList_DP8,0)&gt;0,FALSE),OFFSET(C6,1,0),0),IF(IFERROR(MATCH(D6,RankList_DP8,0)&gt;0,FALSE),OFFSET(D6,1,0),0),IF(IFERROR(MATCH(E6,RankList_DP8,0)&gt;0,FALSE),OFFSET(E6,1,0),0),IF(IFERROR(MATCH(F6,RankList_DP8,0)&gt;0,FALSE),OFFSET(F6,1,0),0),IF(IFERROR(MATCH(G6,RankList_DP8,0)&gt;0,FALSE),OFFSET(G6,1,0),0),IF(IFERROR(MATCH(H6,RankList_DP8,0)&gt;0,FALSE),OFFSET(H6,1,0),0),IF(IFERROR(MATCH(I6,RankList_DP8,0)&gt;0,FALSE),OFFSET(I6,1,0),0),IF(IFERROR(MATCH(J6,RankList_DP8,0)&gt;0,FALSE),OFFSET(J6,1,0),0),IF(IFERROR(MATCH(J6,RankList_DP8,0)&gt;0,FALSE),OFFSET(K6,1,0),0),IF(IFERROR(MATCH(L6,RankList_DP8,0)&gt;0,FALSE),OFFSET(L6,1,0),0),IF(IFERROR(MATCH(M6,RankList_DP8,0)&gt;0,FALSE),OFFSET(M6,1,0),0),IF(IFERROR(MATCH(N6,RankList_DP8,0)&gt;0,FALSE),OFFSET(N6,1,0),0),IF(IFERROR(MATCH(O6,RankList_DP8,0)&gt;0,FALSE),OFFSET(O6,1,0),0),IF(IFERROR(MATCH(P6,RankList_DP8,0)&gt;0,FALSE),OFFSET(P6,1,0),0),IF(IFERROR(MATCH(Q6,RankList_DP8,0)&gt;0,FALSE),OFFSET(Q6,1,0),0),IF(IFERROR(MATCH(R6,RankList_DP8,0)&gt;0,FALSE),OFFSET(R6,1,0),0),IF(IFERROR(MATCH(S6,RankList_DP8,0)&gt;0,FALSE),OFFSET(S6,1,0),0),IF(IFERROR(MATCH(T6,RankList_DP8,0)&gt;0,FALSE),OFFSET(T6,1,0),0),IF(IFERROR(MATCH(U6,RankList_DP8,0)&gt;0,FALSE),OFFSET(U6,1,0),0),IF(IFERROR(MATCH(V6,RankList_DP8,0)&gt;0,FALSE),OFFSET(V6,1,0),0),IF(IFERROR(MATCH(W6,RankList_DP8,0)&gt;0,FALSE),OFFSET(W6,1,0),0),IF(IFERROR(MATCH(X6,RankList_DP8,0)&gt;0,FALSE),OFFSET(X6,1,0),0),IF(IFERROR(MATCH(Y6,RankList_DP8,0)&gt;0,FALSE),OFFSET(Y6,1,0),0),IF(IFERROR(MATCH(Z6,RankList_DP8,0)&gt;0,FALSE),OFFSET(Z6,1,0),0),IF(IFERROR(MATCH(AA6,RankList_DP8,0)&gt;0,FALSE),OFFSET(AA6,1,0),0)),0)</f>
        <v>0</v>
      </c>
      <c r="Q29" s="61">
        <f t="shared" ref="Q29:Q35" ca="1" si="31">ROUND(SUM($P$38*P29)/100,0)</f>
        <v>0</v>
      </c>
      <c r="R29" s="8">
        <f ca="1">IF(DevMode!B24=TRUE,SUM(IF(IFERROR(MATCH(B6,RankList_DP9,0)&gt;0,FALSE),OFFSET(B6,1,0),0),IF(IFERROR(MATCH(C6,RankList_DP9,0)&gt;0,FALSE),OFFSET(C6,1,0),0),IF(IFERROR(MATCH(D6,RankList_DP9,0)&gt;0,FALSE),OFFSET(D6,1,0),0),IF(IFERROR(MATCH(E6,RankList_DP9,0)&gt;0,FALSE),OFFSET(E6,1,0),0),IF(IFERROR(MATCH(F6,RankList_DP9,0)&gt;0,FALSE),OFFSET(F6,1,0),0),IF(IFERROR(MATCH(G6,RankList_DP9,0)&gt;0,FALSE),OFFSET(G6,1,0),0),IF(IFERROR(MATCH(H6,RankList_DP9,0)&gt;0,FALSE),OFFSET(H6,1,0),0),IF(IFERROR(MATCH(I6,RankList_DP9,0)&gt;0,FALSE),OFFSET(I6,1,0),0),IF(IFERROR(MATCH(J6,RankList_DP9,0)&gt;0,FALSE),OFFSET(J6,1,0),0),IF(IFERROR(MATCH(J6,RankList_DP9,0)&gt;0,FALSE),OFFSET(K6,1,0),0),IF(IFERROR(MATCH(L6,RankList_DP9,0)&gt;0,FALSE),OFFSET(L6,1,0),0),IF(IFERROR(MATCH(M6,RankList_DP9,0)&gt;0,FALSE),OFFSET(M6,1,0),0),IF(IFERROR(MATCH(N6,RankList_DP9,0)&gt;0,FALSE),OFFSET(N6,1,0),0),IF(IFERROR(MATCH(O6,RankList_DP9,0)&gt;0,FALSE),OFFSET(O6,1,0),0),IF(IFERROR(MATCH(P6,RankList_DP9,0)&gt;0,FALSE),OFFSET(P6,1,0),0),IF(IFERROR(MATCH(Q6,RankList_DP9,0)&gt;0,FALSE),OFFSET(Q6,1,0),0),IF(IFERROR(MATCH(R6,RankList_DP9,0)&gt;0,FALSE),OFFSET(R6,1,0),0),IF(IFERROR(MATCH(S6,RankList_DP9,0)&gt;0,FALSE),OFFSET(S6,1,0),0),IF(IFERROR(MATCH(T6,RankList_DP9,0)&gt;0,FALSE),OFFSET(T6,1,0),0),IF(IFERROR(MATCH(U6,RankList_DP9,0)&gt;0,FALSE),OFFSET(U6,1,0),0),IF(IFERROR(MATCH(V6,RankList_DP9,0)&gt;0,FALSE),OFFSET(V6,1,0),0),IF(IFERROR(MATCH(W6,RankList_DP9,0)&gt;0,FALSE),OFFSET(W6,1,0),0),IF(IFERROR(MATCH(X6,RankList_DP9,0)&gt;0,FALSE),OFFSET(X6,1,0),0),IF(IFERROR(MATCH(Y6,RankList_DP9,0)&gt;0,FALSE),OFFSET(Y6,1,0),0),IF(IFERROR(MATCH(Z6,RankList_DP9,0)&gt;0,FALSE),OFFSET(Z6,1,0),0),IF(IFERROR(MATCH(AA6,RankList_DP9,0)&gt;0,FALSE),OFFSET(AA6,1,0),0)),0)</f>
        <v>0</v>
      </c>
      <c r="S29" s="61">
        <f t="shared" ref="S29:S35" ca="1" si="32">ROUND(SUM($R$38*R29)/100,0)</f>
        <v>0</v>
      </c>
      <c r="T29" s="158"/>
      <c r="U29" s="157"/>
      <c r="V29" s="157"/>
      <c r="W29" s="157"/>
      <c r="X29" s="157"/>
      <c r="Y29" s="155"/>
      <c r="Z29" s="155"/>
      <c r="AA29" s="154"/>
      <c r="AB29" s="154"/>
      <c r="AC29" s="154"/>
      <c r="AD29" s="154"/>
      <c r="AE29" s="194"/>
      <c r="AF29" s="154"/>
      <c r="AG29" s="154"/>
      <c r="AH29" s="154"/>
      <c r="AI29" s="154"/>
      <c r="AJ29" s="154"/>
      <c r="AK29" s="154"/>
    </row>
    <row r="30" spans="1:37" s="156" customFormat="1" ht="15.75" hidden="1" thickBot="1" x14ac:dyDescent="0.3">
      <c r="A30" s="9" t="str">
        <f>IF(DevMode!A3="","Unused",DevMode!A3)</f>
        <v>Bravo</v>
      </c>
      <c r="B30" s="62">
        <f ca="1">IF(DevMode!C16=TRUE,SUM(IF(IFERROR(MATCH(B6,RankList_DP1,0)&gt;0,FALSE),OFFSET(B6,2,0),0),IF(IFERROR(MATCH(C6,RankList_DP1,0)&gt;0,FALSE),OFFSET(C6,2,0),0),IF(IFERROR(MATCH(D6,RankList_DP1,0)&gt;0,FALSE),OFFSET(D6,2,0),0),IF(IFERROR(MATCH(E6,RankList_DP1,0)&gt;0,FALSE),OFFSET(E6,2,0),0),IF(IFERROR(MATCH(F6,RankList_DP1,0)&gt;0,FALSE),OFFSET(F6,2,0),0),IF(IFERROR(MATCH(G6,RankList_DP1,0)&gt;0,FALSE),OFFSET(G6,2,0),0),IF(IFERROR(MATCH(H6,RankList_DP1,0)&gt;0,FALSE),OFFSET(H6,2,0),0),IF(IFERROR(MATCH(I6,RankList_DP1,0)&gt;0,FALSE),OFFSET(I6,2,0),0),IF(IFERROR(MATCH(J6,RankList_DP1,0)&gt;0,FALSE),OFFSET(J6,2,0),0),IF(IFERROR(MATCH(J6,RankList_DP1,0)&gt;0,FALSE),OFFSET(K6,2,0),0),IF(IFERROR(MATCH(L6,RankList_DP1,0)&gt;0,FALSE),OFFSET(L6,2,0),0),IF(IFERROR(MATCH(M6,RankList_DP1,0)&gt;0,FALSE),OFFSET(M6,2,0),0),IF(IFERROR(MATCH(N6,RankList_DP1,0)&gt;0,FALSE),OFFSET(N6,2,0),0),IF(IFERROR(MATCH(O6,RankList_DP1,0)&gt;0,FALSE),OFFSET(O6,2,0),0),IF(IFERROR(MATCH(P6,RankList_DP1,0)&gt;0,FALSE),OFFSET(P6,2,0),0),IF(IFERROR(MATCH(Q6,RankList_DP1,0)&gt;0,FALSE),OFFSET(Q6,2,0),0),IF(IFERROR(MATCH(R6,RankList_DP1,0)&gt;0,FALSE),OFFSET(R6,2,0),0),IF(IFERROR(MATCH(S6,RankList_DP1,0)&gt;0,FALSE),OFFSET(S6,2,0),0),IF(IFERROR(MATCH(T6,RankList_DP1,0)&gt;0,FALSE),OFFSET(T6,2,0),0),IF(IFERROR(MATCH(U6,RankList_DP1,0)&gt;0,FALSE),OFFSET(U6,2,0),0),IF(IFERROR(MATCH(V6,RankList_DP1,0)&gt;0,FALSE),OFFSET(V6,2,0),0),IF(IFERROR(MATCH(W6,RankList_DP1,0)&gt;0,FALSE),OFFSET(W6,2,0),0),IF(IFERROR(MATCH(X6,RankList_DP1,0)&gt;0,FALSE),OFFSET(X6,2,0),0),IF(IFERROR(MATCH(Y6,RankList_DP1,0)&gt;0,FALSE),OFFSET(Y6,2,0),0),IF(IFERROR(MATCH(Z6,RankList_DP1,0)&gt;0,FALSE),OFFSET(Z6,2,0),0),IF(IFERROR(MATCH(AA6,RankList_DP1,0)&gt;0,FALSE),OFFSET(AA6,2,0),0)),0)</f>
        <v>0</v>
      </c>
      <c r="C30" s="63">
        <f t="shared" ca="1" si="24"/>
        <v>0</v>
      </c>
      <c r="D30" s="62">
        <f ca="1">IF(DevMode!C17=TRUE,SUM(IF(IFERROR(MATCH(B6,RankList_DP2,0)&gt;0,FALSE),OFFSET(B6,2,0),0),IF(IFERROR(MATCH(C6,RankList_DP2,0)&gt;0,FALSE),OFFSET(C6,2,0),0),IF(IFERROR(MATCH(D6,RankList_DP2,0)&gt;0,FALSE),OFFSET(D6,2,0),0),IF(IFERROR(MATCH(E6,RankList_DP2,0)&gt;0,FALSE),OFFSET(E6,2,0),0),IF(IFERROR(MATCH(F6,RankList_DP2,0)&gt;0,FALSE),OFFSET(F6,2,0),0),IF(IFERROR(MATCH(G6,RankList_DP2,0)&gt;0,FALSE),OFFSET(G6,2,0),0),IF(IFERROR(MATCH(H6,RankList_DP2,0)&gt;0,FALSE),OFFSET(H6,2,0),0),IF(IFERROR(MATCH(I6,RankList_DP2,0)&gt;0,FALSE),OFFSET(I6,2,0),0),IF(IFERROR(MATCH(J6,RankList_DP2,0)&gt;0,FALSE),OFFSET(J6,2,0),0),IF(IFERROR(MATCH(J6,RankList_DP2,0)&gt;0,FALSE),OFFSET(K6,2,0),0),IF(IFERROR(MATCH(L6,RankList_DP2,0)&gt;0,FALSE),OFFSET(L6,2,0),0),IF(IFERROR(MATCH(M6,RankList_DP2,0)&gt;0,FALSE),OFFSET(M6,2,0),0),IF(IFERROR(MATCH(N6,RankList_DP2,0)&gt;0,FALSE),OFFSET(N6,2,0),0),IF(IFERROR(MATCH(O6,RankList_DP2,0)&gt;0,FALSE),OFFSET(O6,2,0),0),IF(IFERROR(MATCH(P6,RankList_DP2,0)&gt;0,FALSE),OFFSET(P6,2,0),0),IF(IFERROR(MATCH(Q6,RankList_DP2,0)&gt;0,FALSE),OFFSET(Q6,2,0),0),IF(IFERROR(MATCH(R6,RankList_DP2,0)&gt;0,FALSE),OFFSET(R6,2,0),0),IF(IFERROR(MATCH(S6,RankList_DP2,0)&gt;0,FALSE),OFFSET(S6,2,0),0),IF(IFERROR(MATCH(T6,RankList_DP2,0)&gt;0,FALSE),OFFSET(T6,2,0),0),IF(IFERROR(MATCH(U6,RankList_DP2,0)&gt;0,FALSE),OFFSET(U6,2,0),0),IF(IFERROR(MATCH(V6,RankList_DP2,0)&gt;0,FALSE),OFFSET(V6,2,0),0),IF(IFERROR(MATCH(W6,RankList_DP2,0)&gt;0,FALSE),OFFSET(W6,2,0),0),IF(IFERROR(MATCH(X6,RankList_DP2,0)&gt;0,FALSE),OFFSET(X6,2,0),0),IF(IFERROR(MATCH(Y6,RankList_DP2,0)&gt;0,FALSE),OFFSET(Y6,2,0),0),IF(IFERROR(MATCH(Z6,RankList_DP2,0)&gt;0,FALSE),OFFSET(Z6,2,0),0),IF(IFERROR(MATCH(AA6,RankList_DP2,0)&gt;0,FALSE),OFFSET(AA6,2,0),0)),0)</f>
        <v>0</v>
      </c>
      <c r="E30" s="63">
        <f t="shared" ca="1" si="25"/>
        <v>0</v>
      </c>
      <c r="F30" s="62">
        <f ca="1">IF(DevMode!C18=TRUE,SUM(IF(IFERROR(MATCH(B6,RankList_DP3,0)&gt;0,FALSE),OFFSET(B6,2,0),0),IF(IFERROR(MATCH(C6,RankList_DP3,0)&gt;0,FALSE),OFFSET(C6,2,0),0),IF(IFERROR(MATCH(D6,RankList_DP3,0)&gt;0,FALSE),OFFSET(D6,2,0),0),IF(IFERROR(MATCH(E6,RankList_DP3,0)&gt;0,FALSE),OFFSET(E6,2,0),0),IF(IFERROR(MATCH(F6,RankList_DP3,0)&gt;0,FALSE),OFFSET(F6,2,0),0),IF(IFERROR(MATCH(G6,RankList_DP3,0)&gt;0,FALSE),OFFSET(G6,2,0),0),IF(IFERROR(MATCH(H6,RankList_DP3,0)&gt;0,FALSE),OFFSET(H6,2,0),0),IF(IFERROR(MATCH(I6,RankList_DP3,0)&gt;0,FALSE),OFFSET(I6,2,0),0),IF(IFERROR(MATCH(J6,RankList_DP3,0)&gt;0,FALSE),OFFSET(J6,2,0),0),IF(IFERROR(MATCH(J6,RankList_DP3,0)&gt;0,FALSE),OFFSET(K6,2,0),0),IF(IFERROR(MATCH(L6,RankList_DP3,0)&gt;0,FALSE),OFFSET(L6,2,0),0),IF(IFERROR(MATCH(M6,RankList_DP3,0)&gt;0,FALSE),OFFSET(M6,2,0),0),IF(IFERROR(MATCH(N6,RankList_DP3,0)&gt;0,FALSE),OFFSET(N6,2,0),0),IF(IFERROR(MATCH(O6,RankList_DP3,0)&gt;0,FALSE),OFFSET(O6,2,0),0),IF(IFERROR(MATCH(P6,RankList_DP3,0)&gt;0,FALSE),OFFSET(P6,2,0),0),IF(IFERROR(MATCH(Q6,RankList_DP3,0)&gt;0,FALSE),OFFSET(Q6,2,0),0),IF(IFERROR(MATCH(R6,RankList_DP3,0)&gt;0,FALSE),OFFSET(R6,2,0),0),IF(IFERROR(MATCH(S6,RankList_DP3,0)&gt;0,FALSE),OFFSET(S6,2,0),0),IF(IFERROR(MATCH(T6,RankList_DP3,0)&gt;0,FALSE),OFFSET(T6,2,0),0),IF(IFERROR(MATCH(U6,RankList_DP3,0)&gt;0,FALSE),OFFSET(U6,2,0),0),IF(IFERROR(MATCH(V6,RankList_DP3,0)&gt;0,FALSE),OFFSET(V6,2,0),0),IF(IFERROR(MATCH(W6,RankList_DP3,0)&gt;0,FALSE),OFFSET(W6,2,0),0),IF(IFERROR(MATCH(X6,RankList_DP3,0)&gt;0,FALSE),OFFSET(X6,2,0),0),IF(IFERROR(MATCH(Y6,RankList_DP3,0)&gt;0,FALSE),OFFSET(Y6,2,0),0),IF(IFERROR(MATCH(Z6,RankList_DP3,0)&gt;0,FALSE),OFFSET(Z6,2,0),0),IF(IFERROR(MATCH(AA6,RankList_DP3,0)&gt;0,FALSE),OFFSET(AA6,2,0),0)),0)</f>
        <v>0</v>
      </c>
      <c r="G30" s="63">
        <f t="shared" ca="1" si="26"/>
        <v>0</v>
      </c>
      <c r="H30" s="62">
        <f ca="1">IF(DevMode!C19=TRUE,SUM(IF(IFERROR(MATCH(B6,RankList_DP4,0)&gt;0,FALSE),OFFSET(B6,2,0),0),IF(IFERROR(MATCH(C6,RankList_DP4,0)&gt;0,FALSE),OFFSET(C6,2,0),0),IF(IFERROR(MATCH(D6,RankList_DP4,0)&gt;0,FALSE),OFFSET(D6,2,0),0),IF(IFERROR(MATCH(E6,RankList_DP4,0)&gt;0,FALSE),OFFSET(E6,2,0),0),IF(IFERROR(MATCH(F6,RankList_DP4,0)&gt;0,FALSE),OFFSET(F6,2,0),0),IF(IFERROR(MATCH(G6,RankList_DP4,0)&gt;0,FALSE),OFFSET(G6,2,0),0),IF(IFERROR(MATCH(H6,RankList_DP4,0)&gt;0,FALSE),OFFSET(H6,2,0),0),IF(IFERROR(MATCH(I6,RankList_DP4,0)&gt;0,FALSE),OFFSET(I6,2,0),0),IF(IFERROR(MATCH(J6,RankList_DP4,0)&gt;0,FALSE),OFFSET(J6,2,0),0),IF(IFERROR(MATCH(J6,RankList_DP4,0)&gt;0,FALSE),OFFSET(K6,2,0),0),IF(IFERROR(MATCH(L6,RankList_DP4,0)&gt;0,FALSE),OFFSET(L6,2,0),0),IF(IFERROR(MATCH(M6,RankList_DP4,0)&gt;0,FALSE),OFFSET(M6,2,0),0),IF(IFERROR(MATCH(N6,RankList_DP4,0)&gt;0,FALSE),OFFSET(N6,2,0),0),IF(IFERROR(MATCH(O6,RankList_DP4,0)&gt;0,FALSE),OFFSET(O6,2,0),0),IF(IFERROR(MATCH(P6,RankList_DP4,0)&gt;0,FALSE),OFFSET(P6,2,0),0),IF(IFERROR(MATCH(Q6,RankList_DP4,0)&gt;0,FALSE),OFFSET(Q6,2,0),0),IF(IFERROR(MATCH(R6,RankList_DP4,0)&gt;0,FALSE),OFFSET(R6,2,0),0),IF(IFERROR(MATCH(S6,RankList_DP4,0)&gt;0,FALSE),OFFSET(S6,2,0),0),IF(IFERROR(MATCH(T6,RankList_DP4,0)&gt;0,FALSE),OFFSET(T6,2,0),0),IF(IFERROR(MATCH(U6,RankList_DP4,0)&gt;0,FALSE),OFFSET(U6,2,0),0),IF(IFERROR(MATCH(V6,RankList_DP4,0)&gt;0,FALSE),OFFSET(V6,2,0),0),IF(IFERROR(MATCH(W6,RankList_DP4,0)&gt;0,FALSE),OFFSET(W6,2,0),0),IF(IFERROR(MATCH(X6,RankList_DP4,0)&gt;0,FALSE),OFFSET(X6,2,0),0),IF(IFERROR(MATCH(Y6,RankList_DP4,0)&gt;0,FALSE),OFFSET(Y6,2,0),0),IF(IFERROR(MATCH(Z6,RankList_DP4,0)&gt;0,FALSE),OFFSET(Z6,2,0),0),IF(IFERROR(MATCH(AA6,RankList_DP4,0)&gt;0,FALSE),OFFSET(AA6,2,0),0)),0)</f>
        <v>0</v>
      </c>
      <c r="I30" s="63">
        <f t="shared" ca="1" si="27"/>
        <v>0</v>
      </c>
      <c r="J30" s="62">
        <f ca="1">IF(DevMode!C20=TRUE,SUM(IF(IFERROR(MATCH(B6,RankList_DP5,0)&gt;0,FALSE),OFFSET(B6,2,0),0),IF(IFERROR(MATCH(C6,RankList_DP5,0)&gt;0,FALSE),OFFSET(C6,2,0),0),IF(IFERROR(MATCH(D6,RankList_DP5,0)&gt;0,FALSE),OFFSET(D6,2,0),0),IF(IFERROR(MATCH(E6,RankList_DP5,0)&gt;0,FALSE),OFFSET(E6,2,0),0),IF(IFERROR(MATCH(F6,RankList_DP5,0)&gt;0,FALSE),OFFSET(F6,2,0),0),IF(IFERROR(MATCH(G6,RankList_DP5,0)&gt;0,FALSE),OFFSET(G6,2,0),0),IF(IFERROR(MATCH(H6,RankList_DP5,0)&gt;0,FALSE),OFFSET(H6,2,0),0),IF(IFERROR(MATCH(I6,RankList_DP5,0)&gt;0,FALSE),OFFSET(I6,2,0),0),IF(IFERROR(MATCH(J6,RankList_DP5,0)&gt;0,FALSE),OFFSET(J6,2,0),0),IF(IFERROR(MATCH(J6,RankList_DP5,0)&gt;0,FALSE),OFFSET(K6,2,0),0),IF(IFERROR(MATCH(L6,RankList_DP5,0)&gt;0,FALSE),OFFSET(L6,2,0),0),IF(IFERROR(MATCH(M6,RankList_DP5,0)&gt;0,FALSE),OFFSET(M6,2,0),0),IF(IFERROR(MATCH(N6,RankList_DP5,0)&gt;0,FALSE),OFFSET(N6,2,0),0),IF(IFERROR(MATCH(O6,RankList_DP5,0)&gt;0,FALSE),OFFSET(O6,2,0),0),IF(IFERROR(MATCH(P6,RankList_DP5,0)&gt;0,FALSE),OFFSET(P6,2,0),0),IF(IFERROR(MATCH(Q6,RankList_DP5,0)&gt;0,FALSE),OFFSET(Q6,2,0),0),IF(IFERROR(MATCH(R6,RankList_DP5,0)&gt;0,FALSE),OFFSET(R6,2,0),0),IF(IFERROR(MATCH(S6,RankList_DP5,0)&gt;0,FALSE),OFFSET(S6,2,0),0),IF(IFERROR(MATCH(T6,RankList_DP5,0)&gt;0,FALSE),OFFSET(T6,2,0),0),IF(IFERROR(MATCH(U6,RankList_DP5,0)&gt;0,FALSE),OFFSET(U6,2,0),0),IF(IFERROR(MATCH(V6,RankList_DP5,0)&gt;0,FALSE),OFFSET(V6,2,0),0),IF(IFERROR(MATCH(W6,RankList_DP5,0)&gt;0,FALSE),OFFSET(W6,2,0),0),IF(IFERROR(MATCH(X6,RankList_DP5,0)&gt;0,FALSE),OFFSET(X6,2,0),0),IF(IFERROR(MATCH(Y6,RankList_DP5,0)&gt;0,FALSE),OFFSET(Y6,2,0),0),IF(IFERROR(MATCH(Z6,RankList_DP5,0)&gt;0,FALSE),OFFSET(Z6,2,0),0),IF(IFERROR(MATCH(AA6,RankList_DP5,0)&gt;0,FALSE),OFFSET(AA6,2,0),0)),0)</f>
        <v>0</v>
      </c>
      <c r="K30" s="63">
        <f t="shared" ca="1" si="28"/>
        <v>0</v>
      </c>
      <c r="L30" s="62">
        <f ca="1">IF(DevMode!C21=TRUE,SUM(IF(IFERROR(MATCH(B6,RankList_DP6,0)&gt;0,FALSE),OFFSET(B6,2,0),0),IF(IFERROR(MATCH(C6,RankList_DP6,0)&gt;0,FALSE),OFFSET(C6,2,0),0),IF(IFERROR(MATCH(D6,RankList_DP6,0)&gt;0,FALSE),OFFSET(D6,2,0),0),IF(IFERROR(MATCH(E6,RankList_DP6,0)&gt;0,FALSE),OFFSET(E6,2,0),0),IF(IFERROR(MATCH(F6,RankList_DP6,0)&gt;0,FALSE),OFFSET(F6,2,0),0),IF(IFERROR(MATCH(G6,RankList_DP6,0)&gt;0,FALSE),OFFSET(G6,2,0),0),IF(IFERROR(MATCH(H6,RankList_DP6,0)&gt;0,FALSE),OFFSET(H6,2,0),0),IF(IFERROR(MATCH(I6,RankList_DP6,0)&gt;0,FALSE),OFFSET(I6,2,0),0),IF(IFERROR(MATCH(J6,RankList_DP6,0)&gt;0,FALSE),OFFSET(J6,2,0),0),IF(IFERROR(MATCH(J6,RankList_DP6,0)&gt;0,FALSE),OFFSET(K6,2,0),0),IF(IFERROR(MATCH(L6,RankList_DP6,0)&gt;0,FALSE),OFFSET(L6,2,0),0),IF(IFERROR(MATCH(M6,RankList_DP6,0)&gt;0,FALSE),OFFSET(M6,2,0),0),IF(IFERROR(MATCH(N6,RankList_DP6,0)&gt;0,FALSE),OFFSET(N6,2,0),0),IF(IFERROR(MATCH(O6,RankList_DP6,0)&gt;0,FALSE),OFFSET(O6,2,0),0),IF(IFERROR(MATCH(P6,RankList_DP6,0)&gt;0,FALSE),OFFSET(P6,2,0),0),IF(IFERROR(MATCH(Q6,RankList_DP6,0)&gt;0,FALSE),OFFSET(Q6,2,0),0),IF(IFERROR(MATCH(R6,RankList_DP6,0)&gt;0,FALSE),OFFSET(R6,2,0),0),IF(IFERROR(MATCH(S6,RankList_DP6,0)&gt;0,FALSE),OFFSET(S6,2,0),0),IF(IFERROR(MATCH(T6,RankList_DP6,0)&gt;0,FALSE),OFFSET(T6,2,0),0),IF(IFERROR(MATCH(U6,RankList_DP6,0)&gt;0,FALSE),OFFSET(U6,2,0),0),IF(IFERROR(MATCH(V6,RankList_DP6,0)&gt;0,FALSE),OFFSET(V6,2,0),0),IF(IFERROR(MATCH(W6,RankList_DP6,0)&gt;0,FALSE),OFFSET(W6,2,0),0),IF(IFERROR(MATCH(X6,RankList_DP6,0)&gt;0,FALSE),OFFSET(X6,2,0),0),IF(IFERROR(MATCH(Y6,RankList_DP6,0)&gt;0,FALSE),OFFSET(Y6,2,0),0),IF(IFERROR(MATCH(Z6,RankList_DP6,0)&gt;0,FALSE),OFFSET(Z6,2,0),0),IF(IFERROR(MATCH(AA6,RankList_DP6,0)&gt;0,FALSE),OFFSET(AA6,2,0),0)),0)</f>
        <v>0</v>
      </c>
      <c r="M30" s="63">
        <f t="shared" ca="1" si="29"/>
        <v>0</v>
      </c>
      <c r="N30" s="62">
        <f ca="1">IF(DevMode!C22=TRUE,SUM(IF(IFERROR(MATCH(B6,RankList_DP7,0)&gt;0,FALSE),OFFSET(B6,2,0),0),IF(IFERROR(MATCH(C6,RankList_DP7,0)&gt;0,FALSE),OFFSET(C6,2,0),0),IF(IFERROR(MATCH(D6,RankList_DP7,0)&gt;0,FALSE),OFFSET(D6,2,0),0),IF(IFERROR(MATCH(E6,RankList_DP7,0)&gt;0,FALSE),OFFSET(E6,2,0),0),IF(IFERROR(MATCH(F6,RankList_DP7,0)&gt;0,FALSE),OFFSET(F6,2,0),0),IF(IFERROR(MATCH(G6,RankList_DP7,0)&gt;0,FALSE),OFFSET(G6,2,0),0),IF(IFERROR(MATCH(H6,RankList_DP7,0)&gt;0,FALSE),OFFSET(H6,2,0),0),IF(IFERROR(MATCH(I6,RankList_DP7,0)&gt;0,FALSE),OFFSET(I6,2,0),0),IF(IFERROR(MATCH(J6,RankList_DP7,0)&gt;0,FALSE),OFFSET(J6,2,0),0),IF(IFERROR(MATCH(J6,RankList_DP7,0)&gt;0,FALSE),OFFSET(K6,2,0),0),IF(IFERROR(MATCH(L6,RankList_DP7,0)&gt;0,FALSE),OFFSET(L6,2,0),0),IF(IFERROR(MATCH(M6,RankList_DP7,0)&gt;0,FALSE),OFFSET(M6,2,0),0),IF(IFERROR(MATCH(N6,RankList_DP7,0)&gt;0,FALSE),OFFSET(N6,2,0),0),IF(IFERROR(MATCH(O6,RankList_DP7,0)&gt;0,FALSE),OFFSET(O6,2,0),0),IF(IFERROR(MATCH(P6,RankList_DP7,0)&gt;0,FALSE),OFFSET(P6,2,0),0),IF(IFERROR(MATCH(Q6,RankList_DP7,0)&gt;0,FALSE),OFFSET(Q6,2,0),0),IF(IFERROR(MATCH(R6,RankList_DP7,0)&gt;0,FALSE),OFFSET(R6,2,0),0),IF(IFERROR(MATCH(S6,RankList_DP7,0)&gt;0,FALSE),OFFSET(S6,2,0),0),IF(IFERROR(MATCH(T6,RankList_DP7,0)&gt;0,FALSE),OFFSET(T6,2,0),0),IF(IFERROR(MATCH(U6,RankList_DP7,0)&gt;0,FALSE),OFFSET(U6,2,0),0),IF(IFERROR(MATCH(V6,RankList_DP7,0)&gt;0,FALSE),OFFSET(V6,2,0),0),IF(IFERROR(MATCH(W6,RankList_DP7,0)&gt;0,FALSE),OFFSET(W6,2,0),0),IF(IFERROR(MATCH(X6,RankList_DP7,0)&gt;0,FALSE),OFFSET(X6,2,0),0),IF(IFERROR(MATCH(Y6,RankList_DP7,0)&gt;0,FALSE),OFFSET(Y6,2,0),0),IF(IFERROR(MATCH(Z6,RankList_DP7,0)&gt;0,FALSE),OFFSET(Z6,2,0),0),IF(IFERROR(MATCH(AA6,RankList_DP7,0)&gt;0,FALSE),OFFSET(AA6,2,0),0)),0)</f>
        <v>0</v>
      </c>
      <c r="O30" s="63">
        <f t="shared" ca="1" si="30"/>
        <v>0</v>
      </c>
      <c r="P30" s="62">
        <f ca="1">IF(DevMode!C23=TRUE,SUM(IF(IFERROR(MATCH(B6,RankList_DP8,0)&gt;0,FALSE),OFFSET(B6,2,0),0),IF(IFERROR(MATCH(C6,RankList_DP8,0)&gt;0,FALSE),OFFSET(C6,2,0),0),IF(IFERROR(MATCH(D6,RankList_DP8,0)&gt;0,FALSE),OFFSET(D6,2,0),0),IF(IFERROR(MATCH(E6,RankList_DP8,0)&gt;0,FALSE),OFFSET(E6,2,0),0),IF(IFERROR(MATCH(F6,RankList_DP8,0)&gt;0,FALSE),OFFSET(F6,2,0),0),IF(IFERROR(MATCH(G6,RankList_DP8,0)&gt;0,FALSE),OFFSET(G6,2,0),0),IF(IFERROR(MATCH(H6,RankList_DP8,0)&gt;0,FALSE),OFFSET(H6,2,0),0),IF(IFERROR(MATCH(I6,RankList_DP8,0)&gt;0,FALSE),OFFSET(I6,2,0),0),IF(IFERROR(MATCH(J6,RankList_DP8,0)&gt;0,FALSE),OFFSET(J6,2,0),0),IF(IFERROR(MATCH(J6,RankList_DP8,0)&gt;0,FALSE),OFFSET(K6,2,0),0),IF(IFERROR(MATCH(L6,RankList_DP8,0)&gt;0,FALSE),OFFSET(L6,2,0),0),IF(IFERROR(MATCH(M6,RankList_DP8,0)&gt;0,FALSE),OFFSET(M6,2,0),0),IF(IFERROR(MATCH(N6,RankList_DP8,0)&gt;0,FALSE),OFFSET(N6,2,0),0),IF(IFERROR(MATCH(O6,RankList_DP8,0)&gt;0,FALSE),OFFSET(O6,2,0),0),IF(IFERROR(MATCH(P6,RankList_DP8,0)&gt;0,FALSE),OFFSET(P6,2,0),0),IF(IFERROR(MATCH(Q6,RankList_DP8,0)&gt;0,FALSE),OFFSET(Q6,2,0),0),IF(IFERROR(MATCH(R6,RankList_DP8,0)&gt;0,FALSE),OFFSET(R6,2,0),0),IF(IFERROR(MATCH(S6,RankList_DP8,0)&gt;0,FALSE),OFFSET(S6,2,0),0),IF(IFERROR(MATCH(T6,RankList_DP8,0)&gt;0,FALSE),OFFSET(T6,2,0),0),IF(IFERROR(MATCH(U6,RankList_DP8,0)&gt;0,FALSE),OFFSET(U6,2,0),0),IF(IFERROR(MATCH(V6,RankList_DP8,0)&gt;0,FALSE),OFFSET(V6,2,0),0),IF(IFERROR(MATCH(W6,RankList_DP8,0)&gt;0,FALSE),OFFSET(W6,2,0),0),IF(IFERROR(MATCH(X6,RankList_DP8,0)&gt;0,FALSE),OFFSET(X6,2,0),0),IF(IFERROR(MATCH(Y6,RankList_DP8,0)&gt;0,FALSE),OFFSET(Y6,2,0),0),IF(IFERROR(MATCH(Z6,RankList_DP8,0)&gt;0,FALSE),OFFSET(Z6,2,0),0),IF(IFERROR(MATCH(AA6,RankList_DP8,0)&gt;0,FALSE),OFFSET(AA6,2,0),0)),0)</f>
        <v>0</v>
      </c>
      <c r="Q30" s="63">
        <f t="shared" ca="1" si="31"/>
        <v>0</v>
      </c>
      <c r="R30" s="62">
        <f ca="1">IF(DevMode!C24=TRUE,SUM(IF(IFERROR(MATCH(B6,RankList_DP9,0)&gt;0,FALSE),OFFSET(B6,2,0),0),IF(IFERROR(MATCH(C6,RankList_DP9,0)&gt;0,FALSE),OFFSET(C6,2,0),0),IF(IFERROR(MATCH(D6,RankList_DP9,0)&gt;0,FALSE),OFFSET(D6,2,0),0),IF(IFERROR(MATCH(E6,RankList_DP9,0)&gt;0,FALSE),OFFSET(E6,2,0),0),IF(IFERROR(MATCH(F6,RankList_DP9,0)&gt;0,FALSE),OFFSET(F6,2,0),0),IF(IFERROR(MATCH(G6,RankList_DP9,0)&gt;0,FALSE),OFFSET(G6,2,0),0),IF(IFERROR(MATCH(H6,RankList_DP9,0)&gt;0,FALSE),OFFSET(H6,2,0),0),IF(IFERROR(MATCH(I6,RankList_DP9,0)&gt;0,FALSE),OFFSET(I6,2,0),0),IF(IFERROR(MATCH(J6,RankList_DP9,0)&gt;0,FALSE),OFFSET(J6,2,0),0),IF(IFERROR(MATCH(J6,RankList_DP9,0)&gt;0,FALSE),OFFSET(K6,2,0),0),IF(IFERROR(MATCH(L6,RankList_DP9,0)&gt;0,FALSE),OFFSET(L6,2,0),0),IF(IFERROR(MATCH(M6,RankList_DP9,0)&gt;0,FALSE),OFFSET(M6,2,0),0),IF(IFERROR(MATCH(N6,RankList_DP9,0)&gt;0,FALSE),OFFSET(N6,2,0),0),IF(IFERROR(MATCH(O6,RankList_DP9,0)&gt;0,FALSE),OFFSET(O6,2,0),0),IF(IFERROR(MATCH(P6,RankList_DP9,0)&gt;0,FALSE),OFFSET(P6,2,0),0),IF(IFERROR(MATCH(Q6,RankList_DP9,0)&gt;0,FALSE),OFFSET(Q6,2,0),0),IF(IFERROR(MATCH(R6,RankList_DP9,0)&gt;0,FALSE),OFFSET(R6,2,0),0),IF(IFERROR(MATCH(S6,RankList_DP9,0)&gt;0,FALSE),OFFSET(S6,2,0),0),IF(IFERROR(MATCH(T6,RankList_DP9,0)&gt;0,FALSE),OFFSET(T6,2,0),0),IF(IFERROR(MATCH(U6,RankList_DP9,0)&gt;0,FALSE),OFFSET(U6,2,0),0),IF(IFERROR(MATCH(V6,RankList_DP9,0)&gt;0,FALSE),OFFSET(V6,2,0),0),IF(IFERROR(MATCH(W6,RankList_DP9,0)&gt;0,FALSE),OFFSET(W6,2,0),0),IF(IFERROR(MATCH(X6,RankList_DP9,0)&gt;0,FALSE),OFFSET(X6,2,0),0),IF(IFERROR(MATCH(Y6,RankList_DP9,0)&gt;0,FALSE),OFFSET(Y6,2,0),0),IF(IFERROR(MATCH(Z6,RankList_DP9,0)&gt;0,FALSE),OFFSET(Z6,2,0),0),IF(IFERROR(MATCH(AA6,RankList_DP9,0)&gt;0,FALSE),OFFSET(AA6,2,0),0)),0)</f>
        <v>0</v>
      </c>
      <c r="S30" s="63">
        <f t="shared" ca="1" si="32"/>
        <v>0</v>
      </c>
      <c r="T30" s="159"/>
      <c r="U30" s="157"/>
      <c r="V30" s="158"/>
      <c r="W30" s="157"/>
      <c r="X30" s="157"/>
      <c r="Y30" s="155"/>
      <c r="Z30" s="155"/>
      <c r="AA30" s="154"/>
      <c r="AB30" s="155"/>
      <c r="AC30" s="154"/>
      <c r="AD30" s="154"/>
      <c r="AE30" s="194"/>
      <c r="AF30" s="154"/>
      <c r="AG30" s="154"/>
      <c r="AH30" s="154"/>
      <c r="AI30" s="154"/>
      <c r="AJ30" s="154"/>
      <c r="AK30" s="154"/>
    </row>
    <row r="31" spans="1:37" s="156" customFormat="1" ht="15.75" hidden="1" thickBot="1" x14ac:dyDescent="0.3">
      <c r="A31" s="10" t="str">
        <f>IF(DevMode!A4="","Unused",DevMode!A4)</f>
        <v>Charlie</v>
      </c>
      <c r="B31" s="64">
        <f ca="1">IF(DevMode!D16=TRUE,SUM(IF(IFERROR(MATCH(B6,RankList_DP1,0)&gt;0,FALSE),OFFSET(B6,3,0),0),IF(IFERROR(MATCH(C6,RankList_DP1,0)&gt;0,FALSE),OFFSET(C6,3,0),0),IF(IFERROR(MATCH(D6,RankList_DP1,0)&gt;0,FALSE),OFFSET(D6,3,0),0),IF(IFERROR(MATCH(E6,RankList_DP1,0)&gt;0,FALSE),OFFSET(E6,3,0),0),IF(IFERROR(MATCH(F6,RankList_DP1,0)&gt;0,FALSE),OFFSET(F6,3,0),0),IF(IFERROR(MATCH(G6,RankList_DP1,0)&gt;0,FALSE),OFFSET(G6,3,0),0),IF(IFERROR(MATCH(H6,RankList_DP1,0)&gt;0,FALSE),OFFSET(H6,3,0),0),IF(IFERROR(MATCH(I6,RankList_DP1,0)&gt;0,FALSE),OFFSET(I6,3,0),0),IF(IFERROR(MATCH(J6,RankList_DP1,0)&gt;0,FALSE),OFFSET(J6,3,0),0),IF(IFERROR(MATCH(J6,RankList_DP1,0)&gt;0,FALSE),OFFSET(K6,3,0),0),IF(IFERROR(MATCH(L6,RankList_DP1,0)&gt;0,FALSE),OFFSET(L6,3,0),0),IF(IFERROR(MATCH(M6,RankList_DP1,0)&gt;0,FALSE),OFFSET(M6,3,0),0),IF(IFERROR(MATCH(N6,RankList_DP1,0)&gt;0,FALSE),OFFSET(N6,3,0),0),IF(IFERROR(MATCH(O6,RankList_DP1,0)&gt;0,FALSE),OFFSET(O6,3,0),0),IF(IFERROR(MATCH(P6,RankList_DP1,0)&gt;0,FALSE),OFFSET(P6,3,0),0),IF(IFERROR(MATCH(Q6,RankList_DP1,0)&gt;0,FALSE),OFFSET(Q6,3,0),0),IF(IFERROR(MATCH(R6,RankList_DP1,0)&gt;0,FALSE),OFFSET(R6,3,0),0),IF(IFERROR(MATCH(S6,RankList_DP1,0)&gt;0,FALSE),OFFSET(S6,3,0),0),IF(IFERROR(MATCH(T6,RankList_DP1,0)&gt;0,FALSE),OFFSET(T6,3,0),0),IF(IFERROR(MATCH(U6,RankList_DP1,0)&gt;0,FALSE),OFFSET(U6,3,0),0),IF(IFERROR(MATCH(V6,RankList_DP1,0)&gt;0,FALSE),OFFSET(V6,3,0),0),IF(IFERROR(MATCH(W6,RankList_DP1,0)&gt;0,FALSE),OFFSET(W6,3,0),0),IF(IFERROR(MATCH(X6,RankList_DP1,0)&gt;0,FALSE),OFFSET(X6,3,0),0),IF(IFERROR(MATCH(Y6,RankList_DP1,0)&gt;0,FALSE),OFFSET(Y6,3,0),0),IF(IFERROR(MATCH(Z6,RankList_DP1,0)&gt;0,FALSE),OFFSET(Z6,3,0),0),IF(IFERROR(MATCH(AA6,RankList_DP1,0)&gt;0,FALSE),OFFSET(AA6,3,0),0)),0)</f>
        <v>0</v>
      </c>
      <c r="C31" s="65">
        <f t="shared" ca="1" si="24"/>
        <v>0</v>
      </c>
      <c r="D31" s="64">
        <f ca="1">IF(DevMode!D17=TRUE,SUM(IF(IFERROR(MATCH(B6,RankList_DP2,0)&gt;0,FALSE),OFFSET(B6,3,0),0),IF(IFERROR(MATCH(C6,RankList_DP2,0)&gt;0,FALSE),OFFSET(C6,3,0),0),IF(IFERROR(MATCH(D6,RankList_DP2,0)&gt;0,FALSE),OFFSET(D6,3,0),0),IF(IFERROR(MATCH(E6,RankList_DP2,0)&gt;0,FALSE),OFFSET(E6,3,0),0),IF(IFERROR(MATCH(F6,RankList_DP2,0)&gt;0,FALSE),OFFSET(F6,3,0),0),IF(IFERROR(MATCH(G6,RankList_DP2,0)&gt;0,FALSE),OFFSET(G6,3,0),0),IF(IFERROR(MATCH(H6,RankList_DP2,0)&gt;0,FALSE),OFFSET(H6,3,0),0),IF(IFERROR(MATCH(I6,RankList_DP2,0)&gt;0,FALSE),OFFSET(I6,3,0),0),IF(IFERROR(MATCH(J6,RankList_DP2,0)&gt;0,FALSE),OFFSET(J6,3,0),0),IF(IFERROR(MATCH(J6,RankList_DP2,0)&gt;0,FALSE),OFFSET(K6,3,0),0),IF(IFERROR(MATCH(L6,RankList_DP2,0)&gt;0,FALSE),OFFSET(L6,3,0),0),IF(IFERROR(MATCH(M6,RankList_DP2,0)&gt;0,FALSE),OFFSET(M6,3,0),0),IF(IFERROR(MATCH(N6,RankList_DP2,0)&gt;0,FALSE),OFFSET(N6,3,0),0),IF(IFERROR(MATCH(O6,RankList_DP2,0)&gt;0,FALSE),OFFSET(O6,3,0),0),IF(IFERROR(MATCH(P6,RankList_DP2,0)&gt;0,FALSE),OFFSET(P6,3,0),0),IF(IFERROR(MATCH(Q6,RankList_DP2,0)&gt;0,FALSE),OFFSET(Q6,3,0),0),IF(IFERROR(MATCH(R6,RankList_DP2,0)&gt;0,FALSE),OFFSET(R6,3,0),0),IF(IFERROR(MATCH(S6,RankList_DP2,0)&gt;0,FALSE),OFFSET(S6,3,0),0),IF(IFERROR(MATCH(T6,RankList_DP2,0)&gt;0,FALSE),OFFSET(T6,3,0),0),IF(IFERROR(MATCH(U6,RankList_DP2,0)&gt;0,FALSE),OFFSET(U6,3,0),0),IF(IFERROR(MATCH(V6,RankList_DP2,0)&gt;0,FALSE),OFFSET(V6,3,0),0),IF(IFERROR(MATCH(W6,RankList_DP2,0)&gt;0,FALSE),OFFSET(W6,3,0),0),IF(IFERROR(MATCH(X6,RankList_DP2,0)&gt;0,FALSE),OFFSET(X6,3,0),0),IF(IFERROR(MATCH(Y6,RankList_DP2,0)&gt;0,FALSE),OFFSET(Y6,3,0),0),IF(IFERROR(MATCH(Z6,RankList_DP2,0)&gt;0,FALSE),OFFSET(Z6,3,0),0),IF(IFERROR(MATCH(AA6,RankList_DP2,0)&gt;0,FALSE),OFFSET(AA6,3,0),0)),0)</f>
        <v>0</v>
      </c>
      <c r="E31" s="65">
        <f t="shared" ca="1" si="25"/>
        <v>0</v>
      </c>
      <c r="F31" s="64">
        <f ca="1">IF(DevMode!D18=TRUE,SUM(IF(IFERROR(MATCH(B6,RankList_DP3,0)&gt;0,FALSE),OFFSET(B6,3,0),0),IF(IFERROR(MATCH(C6,RankList_DP3,0)&gt;0,FALSE),OFFSET(C6,3,0),0),IF(IFERROR(MATCH(D6,RankList_DP3,0)&gt;0,FALSE),OFFSET(D6,3,0),0),IF(IFERROR(MATCH(E6,RankList_DP3,0)&gt;0,FALSE),OFFSET(E6,3,0),0),IF(IFERROR(MATCH(F6,RankList_DP3,0)&gt;0,FALSE),OFFSET(F6,3,0),0),IF(IFERROR(MATCH(G6,RankList_DP3,0)&gt;0,FALSE),OFFSET(G6,3,0),0),IF(IFERROR(MATCH(H6,RankList_DP3,0)&gt;0,FALSE),OFFSET(H6,3,0),0),IF(IFERROR(MATCH(I6,RankList_DP3,0)&gt;0,FALSE),OFFSET(I6,3,0),0),IF(IFERROR(MATCH(J6,RankList_DP3,0)&gt;0,FALSE),OFFSET(J6,3,0),0),IF(IFERROR(MATCH(J6,RankList_DP3,0)&gt;0,FALSE),OFFSET(K6,3,0),0),IF(IFERROR(MATCH(L6,RankList_DP3,0)&gt;0,FALSE),OFFSET(L6,3,0),0),IF(IFERROR(MATCH(M6,RankList_DP3,0)&gt;0,FALSE),OFFSET(M6,3,0),0),IF(IFERROR(MATCH(N6,RankList_DP3,0)&gt;0,FALSE),OFFSET(N6,3,0),0),IF(IFERROR(MATCH(O6,RankList_DP3,0)&gt;0,FALSE),OFFSET(O6,3,0),0),IF(IFERROR(MATCH(P6,RankList_DP3,0)&gt;0,FALSE),OFFSET(P6,3,0),0),IF(IFERROR(MATCH(Q6,RankList_DP3,0)&gt;0,FALSE),OFFSET(Q6,3,0),0),IF(IFERROR(MATCH(R6,RankList_DP3,0)&gt;0,FALSE),OFFSET(R6,3,0),0),IF(IFERROR(MATCH(S6,RankList_DP3,0)&gt;0,FALSE),OFFSET(S6,3,0),0),IF(IFERROR(MATCH(T6,RankList_DP3,0)&gt;0,FALSE),OFFSET(T6,3,0),0),IF(IFERROR(MATCH(U6,RankList_DP3,0)&gt;0,FALSE),OFFSET(U6,3,0),0),IF(IFERROR(MATCH(V6,RankList_DP3,0)&gt;0,FALSE),OFFSET(V6,3,0),0),IF(IFERROR(MATCH(W6,RankList_DP3,0)&gt;0,FALSE),OFFSET(W6,3,0),0),IF(IFERROR(MATCH(X6,RankList_DP3,0)&gt;0,FALSE),OFFSET(X6,3,0),0),IF(IFERROR(MATCH(Y6,RankList_DP3,0)&gt;0,FALSE),OFFSET(Y6,3,0),0),IF(IFERROR(MATCH(Z6,RankList_DP3,0)&gt;0,FALSE),OFFSET(Z6,3,0),0),IF(IFERROR(MATCH(AA6,RankList_DP3,0)&gt;0,FALSE),OFFSET(AA6,3,0),0)),0)</f>
        <v>0</v>
      </c>
      <c r="G31" s="65">
        <f t="shared" ca="1" si="26"/>
        <v>0</v>
      </c>
      <c r="H31" s="64">
        <f ca="1">IF(DevMode!D19=TRUE,SUM(IF(IFERROR(MATCH(B6,RankList_DP4,0)&gt;0,FALSE),OFFSET(B6,3,0),0),IF(IFERROR(MATCH(C6,RankList_DP4,0)&gt;0,FALSE),OFFSET(C6,3,0),0),IF(IFERROR(MATCH(D6,RankList_DP4,0)&gt;0,FALSE),OFFSET(D6,3,0),0),IF(IFERROR(MATCH(E6,RankList_DP4,0)&gt;0,FALSE),OFFSET(E6,3,0),0),IF(IFERROR(MATCH(F6,RankList_DP4,0)&gt;0,FALSE),OFFSET(F6,3,0),0),IF(IFERROR(MATCH(G6,RankList_DP4,0)&gt;0,FALSE),OFFSET(G6,3,0),0),IF(IFERROR(MATCH(H6,RankList_DP4,0)&gt;0,FALSE),OFFSET(H6,3,0),0),IF(IFERROR(MATCH(I6,RankList_DP4,0)&gt;0,FALSE),OFFSET(I6,3,0),0),IF(IFERROR(MATCH(J6,RankList_DP4,0)&gt;0,FALSE),OFFSET(J6,3,0),0),IF(IFERROR(MATCH(J6,RankList_DP4,0)&gt;0,FALSE),OFFSET(K6,3,0),0),IF(IFERROR(MATCH(L6,RankList_DP4,0)&gt;0,FALSE),OFFSET(L6,3,0),0),IF(IFERROR(MATCH(M6,RankList_DP4,0)&gt;0,FALSE),OFFSET(M6,3,0),0),IF(IFERROR(MATCH(N6,RankList_DP4,0)&gt;0,FALSE),OFFSET(N6,3,0),0),IF(IFERROR(MATCH(O6,RankList_DP4,0)&gt;0,FALSE),OFFSET(O6,3,0),0),IF(IFERROR(MATCH(P6,RankList_DP4,0)&gt;0,FALSE),OFFSET(P6,3,0),0),IF(IFERROR(MATCH(Q6,RankList_DP4,0)&gt;0,FALSE),OFFSET(Q6,3,0),0),IF(IFERROR(MATCH(R6,RankList_DP4,0)&gt;0,FALSE),OFFSET(R6,3,0),0),IF(IFERROR(MATCH(S6,RankList_DP4,0)&gt;0,FALSE),OFFSET(S6,3,0),0),IF(IFERROR(MATCH(T6,RankList_DP4,0)&gt;0,FALSE),OFFSET(T6,3,0),0),IF(IFERROR(MATCH(U6,RankList_DP4,0)&gt;0,FALSE),OFFSET(U6,3,0),0),IF(IFERROR(MATCH(V6,RankList_DP4,0)&gt;0,FALSE),OFFSET(V6,3,0),0),IF(IFERROR(MATCH(W6,RankList_DP4,0)&gt;0,FALSE),OFFSET(W6,3,0),0),IF(IFERROR(MATCH(X6,RankList_DP4,0)&gt;0,FALSE),OFFSET(X6,3,0),0),IF(IFERROR(MATCH(Y6,RankList_DP4,0)&gt;0,FALSE),OFFSET(Y6,3,0),0),IF(IFERROR(MATCH(Z6,RankList_DP4,0)&gt;0,FALSE),OFFSET(Z6,3,0),0),IF(IFERROR(MATCH(AA6,RankList_DP4,0)&gt;0,FALSE),OFFSET(AA6,3,0),0)),0)</f>
        <v>0</v>
      </c>
      <c r="I31" s="65">
        <f t="shared" ca="1" si="27"/>
        <v>0</v>
      </c>
      <c r="J31" s="64">
        <f ca="1">IF(DevMode!D20=TRUE,SUM(IF(IFERROR(MATCH(B6,RankList_DP5,0)&gt;0,FALSE),OFFSET(B6,3,0),0),IF(IFERROR(MATCH(C6,RankList_DP5,0)&gt;0,FALSE),OFFSET(C6,3,0),0),IF(IFERROR(MATCH(D6,RankList_DP5,0)&gt;0,FALSE),OFFSET(D6,3,0),0),IF(IFERROR(MATCH(E6,RankList_DP5,0)&gt;0,FALSE),OFFSET(E6,3,0),0),IF(IFERROR(MATCH(F6,RankList_DP5,0)&gt;0,FALSE),OFFSET(F6,3,0),0),IF(IFERROR(MATCH(G6,RankList_DP5,0)&gt;0,FALSE),OFFSET(G6,3,0),0),IF(IFERROR(MATCH(H6,RankList_DP5,0)&gt;0,FALSE),OFFSET(H6,3,0),0),IF(IFERROR(MATCH(I6,RankList_DP5,0)&gt;0,FALSE),OFFSET(I6,3,0),0),IF(IFERROR(MATCH(J6,RankList_DP5,0)&gt;0,FALSE),OFFSET(J6,3,0),0),IF(IFERROR(MATCH(J6,RankList_DP5,0)&gt;0,FALSE),OFFSET(K6,3,0),0),IF(IFERROR(MATCH(L6,RankList_DP5,0)&gt;0,FALSE),OFFSET(L6,3,0),0),IF(IFERROR(MATCH(M6,RankList_DP5,0)&gt;0,FALSE),OFFSET(M6,3,0),0),IF(IFERROR(MATCH(N6,RankList_DP5,0)&gt;0,FALSE),OFFSET(N6,3,0),0),IF(IFERROR(MATCH(O6,RankList_DP5,0)&gt;0,FALSE),OFFSET(O6,3,0),0),IF(IFERROR(MATCH(P6,RankList_DP5,0)&gt;0,FALSE),OFFSET(P6,3,0),0),IF(IFERROR(MATCH(Q6,RankList_DP5,0)&gt;0,FALSE),OFFSET(Q6,3,0),0),IF(IFERROR(MATCH(R6,RankList_DP5,0)&gt;0,FALSE),OFFSET(R6,3,0),0),IF(IFERROR(MATCH(S6,RankList_DP5,0)&gt;0,FALSE),OFFSET(S6,3,0),0),IF(IFERROR(MATCH(T6,RankList_DP5,0)&gt;0,FALSE),OFFSET(T6,3,0),0),IF(IFERROR(MATCH(U6,RankList_DP5,0)&gt;0,FALSE),OFFSET(U6,3,0),0),IF(IFERROR(MATCH(V6,RankList_DP5,0)&gt;0,FALSE),OFFSET(V6,3,0),0),IF(IFERROR(MATCH(W6,RankList_DP5,0)&gt;0,FALSE),OFFSET(W6,3,0),0),IF(IFERROR(MATCH(X6,RankList_DP5,0)&gt;0,FALSE),OFFSET(X6,3,0),0),IF(IFERROR(MATCH(Y6,RankList_DP5,0)&gt;0,FALSE),OFFSET(Y6,3,0),0),IF(IFERROR(MATCH(Z6,RankList_DP5,0)&gt;0,FALSE),OFFSET(Z6,3,0),0),IF(IFERROR(MATCH(AA6,RankList_DP5,0)&gt;0,FALSE),OFFSET(AA6,3,0),0)),0)</f>
        <v>0</v>
      </c>
      <c r="K31" s="65">
        <f t="shared" ca="1" si="28"/>
        <v>0</v>
      </c>
      <c r="L31" s="64">
        <f ca="1">IF(DevMode!D21=TRUE,SUM(IF(IFERROR(MATCH(B6,RankList_DP6,0)&gt;0,FALSE),OFFSET(B6,3,0),0),IF(IFERROR(MATCH(C6,RankList_DP6,0)&gt;0,FALSE),OFFSET(C6,3,0),0),IF(IFERROR(MATCH(D6,RankList_DP6,0)&gt;0,FALSE),OFFSET(D6,3,0),0),IF(IFERROR(MATCH(E6,RankList_DP6,0)&gt;0,FALSE),OFFSET(E6,3,0),0),IF(IFERROR(MATCH(F6,RankList_DP6,0)&gt;0,FALSE),OFFSET(F6,3,0),0),IF(IFERROR(MATCH(G6,RankList_DP6,0)&gt;0,FALSE),OFFSET(G6,3,0),0),IF(IFERROR(MATCH(H6,RankList_DP6,0)&gt;0,FALSE),OFFSET(H6,3,0),0),IF(IFERROR(MATCH(I6,RankList_DP6,0)&gt;0,FALSE),OFFSET(I6,3,0),0),IF(IFERROR(MATCH(J6,RankList_DP6,0)&gt;0,FALSE),OFFSET(J6,3,0),0),IF(IFERROR(MATCH(J6,RankList_DP6,0)&gt;0,FALSE),OFFSET(K6,3,0),0),IF(IFERROR(MATCH(L6,RankList_DP6,0)&gt;0,FALSE),OFFSET(L6,3,0),0),IF(IFERROR(MATCH(M6,RankList_DP6,0)&gt;0,FALSE),OFFSET(M6,3,0),0),IF(IFERROR(MATCH(N6,RankList_DP6,0)&gt;0,FALSE),OFFSET(N6,3,0),0),IF(IFERROR(MATCH(O6,RankList_DP6,0)&gt;0,FALSE),OFFSET(O6,3,0),0),IF(IFERROR(MATCH(P6,RankList_DP6,0)&gt;0,FALSE),OFFSET(P6,3,0),0),IF(IFERROR(MATCH(Q6,RankList_DP6,0)&gt;0,FALSE),OFFSET(Q6,3,0),0),IF(IFERROR(MATCH(R6,RankList_DP6,0)&gt;0,FALSE),OFFSET(R6,3,0),0),IF(IFERROR(MATCH(S6,RankList_DP6,0)&gt;0,FALSE),OFFSET(S6,3,0),0),IF(IFERROR(MATCH(T6,RankList_DP6,0)&gt;0,FALSE),OFFSET(T6,3,0),0),IF(IFERROR(MATCH(U6,RankList_DP6,0)&gt;0,FALSE),OFFSET(U6,3,0),0),IF(IFERROR(MATCH(V6,RankList_DP6,0)&gt;0,FALSE),OFFSET(V6,3,0),0),IF(IFERROR(MATCH(W6,RankList_DP6,0)&gt;0,FALSE),OFFSET(W6,3,0),0),IF(IFERROR(MATCH(X6,RankList_DP6,0)&gt;0,FALSE),OFFSET(X6,3,0),0),IF(IFERROR(MATCH(Y6,RankList_DP6,0)&gt;0,FALSE),OFFSET(Y6,3,0),0),IF(IFERROR(MATCH(Z6,RankList_DP6,0)&gt;0,FALSE),OFFSET(Z6,3,0),0),IF(IFERROR(MATCH(AA6,RankList_DP6,0)&gt;0,FALSE),OFFSET(AA6,3,0),0)),0)</f>
        <v>0</v>
      </c>
      <c r="M31" s="65">
        <f t="shared" ca="1" si="29"/>
        <v>0</v>
      </c>
      <c r="N31" s="64">
        <f ca="1">IF(DevMode!D22=TRUE,SUM(IF(IFERROR(MATCH(B6,RankList_DP7,0)&gt;0,FALSE),OFFSET(B6,3,0),0),IF(IFERROR(MATCH(C6,RankList_DP7,0)&gt;0,FALSE),OFFSET(C6,3,0),0),IF(IFERROR(MATCH(D6,RankList_DP7,0)&gt;0,FALSE),OFFSET(D6,3,0),0),IF(IFERROR(MATCH(E6,RankList_DP7,0)&gt;0,FALSE),OFFSET(E6,3,0),0),IF(IFERROR(MATCH(F6,RankList_DP7,0)&gt;0,FALSE),OFFSET(F6,3,0),0),IF(IFERROR(MATCH(G6,RankList_DP7,0)&gt;0,FALSE),OFFSET(G6,3,0),0),IF(IFERROR(MATCH(H6,RankList_DP7,0)&gt;0,FALSE),OFFSET(H6,3,0),0),IF(IFERROR(MATCH(I6,RankList_DP7,0)&gt;0,FALSE),OFFSET(I6,3,0),0),IF(IFERROR(MATCH(J6,RankList_DP7,0)&gt;0,FALSE),OFFSET(J6,3,0),0),IF(IFERROR(MATCH(J6,RankList_DP7,0)&gt;0,FALSE),OFFSET(K6,3,0),0),IF(IFERROR(MATCH(L6,RankList_DP7,0)&gt;0,FALSE),OFFSET(L6,3,0),0),IF(IFERROR(MATCH(M6,RankList_DP7,0)&gt;0,FALSE),OFFSET(M6,3,0),0),IF(IFERROR(MATCH(N6,RankList_DP7,0)&gt;0,FALSE),OFFSET(N6,3,0),0),IF(IFERROR(MATCH(O6,RankList_DP7,0)&gt;0,FALSE),OFFSET(O6,3,0),0),IF(IFERROR(MATCH(P6,RankList_DP7,0)&gt;0,FALSE),OFFSET(P6,3,0),0),IF(IFERROR(MATCH(Q6,RankList_DP7,0)&gt;0,FALSE),OFFSET(Q6,3,0),0),IF(IFERROR(MATCH(R6,RankList_DP7,0)&gt;0,FALSE),OFFSET(R6,3,0),0),IF(IFERROR(MATCH(S6,RankList_DP7,0)&gt;0,FALSE),OFFSET(S6,3,0),0),IF(IFERROR(MATCH(T6,RankList_DP7,0)&gt;0,FALSE),OFFSET(T6,3,0),0),IF(IFERROR(MATCH(U6,RankList_DP7,0)&gt;0,FALSE),OFFSET(U6,3,0),0),IF(IFERROR(MATCH(V6,RankList_DP7,0)&gt;0,FALSE),OFFSET(V6,3,0),0),IF(IFERROR(MATCH(W6,RankList_DP7,0)&gt;0,FALSE),OFFSET(W6,3,0),0),IF(IFERROR(MATCH(X6,RankList_DP7,0)&gt;0,FALSE),OFFSET(X6,3,0),0),IF(IFERROR(MATCH(Y6,RankList_DP7,0)&gt;0,FALSE),OFFSET(Y6,3,0),0),IF(IFERROR(MATCH(Z6,RankList_DP7,0)&gt;0,FALSE),OFFSET(Z6,3,0),0),IF(IFERROR(MATCH(AA6,RankList_DP7,0)&gt;0,FALSE),OFFSET(AA6,3,0),0)),0)</f>
        <v>0</v>
      </c>
      <c r="O31" s="65">
        <f t="shared" ca="1" si="30"/>
        <v>0</v>
      </c>
      <c r="P31" s="64">
        <f ca="1">IF(DevMode!D23=TRUE,SUM(IF(IFERROR(MATCH(B6,RankList_DP8,0)&gt;0,FALSE),OFFSET(B6,3,0),0),IF(IFERROR(MATCH(C6,RankList_DP8,0)&gt;0,FALSE),OFFSET(C6,3,0),0),IF(IFERROR(MATCH(D6,RankList_DP8,0)&gt;0,FALSE),OFFSET(D6,3,0),0),IF(IFERROR(MATCH(E6,RankList_DP8,0)&gt;0,FALSE),OFFSET(E6,3,0),0),IF(IFERROR(MATCH(F6,RankList_DP8,0)&gt;0,FALSE),OFFSET(F6,3,0),0),IF(IFERROR(MATCH(G6,RankList_DP8,0)&gt;0,FALSE),OFFSET(G6,3,0),0),IF(IFERROR(MATCH(H6,RankList_DP8,0)&gt;0,FALSE),OFFSET(H6,3,0),0),IF(IFERROR(MATCH(I6,RankList_DP8,0)&gt;0,FALSE),OFFSET(I6,3,0),0),IF(IFERROR(MATCH(J6,RankList_DP8,0)&gt;0,FALSE),OFFSET(J6,3,0),0),IF(IFERROR(MATCH(J6,RankList_DP8,0)&gt;0,FALSE),OFFSET(K6,3,0),0),IF(IFERROR(MATCH(L6,RankList_DP8,0)&gt;0,FALSE),OFFSET(L6,3,0),0),IF(IFERROR(MATCH(M6,RankList_DP8,0)&gt;0,FALSE),OFFSET(M6,3,0),0),IF(IFERROR(MATCH(N6,RankList_DP8,0)&gt;0,FALSE),OFFSET(N6,3,0),0),IF(IFERROR(MATCH(O6,RankList_DP8,0)&gt;0,FALSE),OFFSET(O6,3,0),0),IF(IFERROR(MATCH(P6,RankList_DP8,0)&gt;0,FALSE),OFFSET(P6,3,0),0),IF(IFERROR(MATCH(Q6,RankList_DP8,0)&gt;0,FALSE),OFFSET(Q6,3,0),0),IF(IFERROR(MATCH(R6,RankList_DP8,0)&gt;0,FALSE),OFFSET(R6,3,0),0),IF(IFERROR(MATCH(S6,RankList_DP8,0)&gt;0,FALSE),OFFSET(S6,3,0),0),IF(IFERROR(MATCH(T6,RankList_DP8,0)&gt;0,FALSE),OFFSET(T6,3,0),0),IF(IFERROR(MATCH(U6,RankList_DP8,0)&gt;0,FALSE),OFFSET(U6,3,0),0),IF(IFERROR(MATCH(V6,RankList_DP8,0)&gt;0,FALSE),OFFSET(V6,3,0),0),IF(IFERROR(MATCH(W6,RankList_DP8,0)&gt;0,FALSE),OFFSET(W6,3,0),0),IF(IFERROR(MATCH(X6,RankList_DP8,0)&gt;0,FALSE),OFFSET(X6,3,0),0),IF(IFERROR(MATCH(Y6,RankList_DP8,0)&gt;0,FALSE),OFFSET(Y6,3,0),0),IF(IFERROR(MATCH(Z6,RankList_DP8,0)&gt;0,FALSE),OFFSET(Z6,3,0),0),IF(IFERROR(MATCH(AA6,RankList_DP8,0)&gt;0,FALSE),OFFSET(AA6,3,0),0)),0)</f>
        <v>0</v>
      </c>
      <c r="Q31" s="65">
        <f t="shared" ca="1" si="31"/>
        <v>0</v>
      </c>
      <c r="R31" s="64">
        <f ca="1">IF(DevMode!D24=TRUE,SUM(IF(IFERROR(MATCH(B6,RankList_DP9,0)&gt;0,FALSE),OFFSET(B6,3,0),0),IF(IFERROR(MATCH(C6,RankList_DP9,0)&gt;0,FALSE),OFFSET(C6,3,0),0),IF(IFERROR(MATCH(D6,RankList_DP9,0)&gt;0,FALSE),OFFSET(D6,3,0),0),IF(IFERROR(MATCH(E6,RankList_DP9,0)&gt;0,FALSE),OFFSET(E6,3,0),0),IF(IFERROR(MATCH(F6,RankList_DP9,0)&gt;0,FALSE),OFFSET(F6,3,0),0),IF(IFERROR(MATCH(G6,RankList_DP9,0)&gt;0,FALSE),OFFSET(G6,3,0),0),IF(IFERROR(MATCH(H6,RankList_DP9,0)&gt;0,FALSE),OFFSET(H6,3,0),0),IF(IFERROR(MATCH(I6,RankList_DP9,0)&gt;0,FALSE),OFFSET(I6,3,0),0),IF(IFERROR(MATCH(J6,RankList_DP9,0)&gt;0,FALSE),OFFSET(J6,3,0),0),IF(IFERROR(MATCH(J6,RankList_DP9,0)&gt;0,FALSE),OFFSET(K6,3,0),0),IF(IFERROR(MATCH(L6,RankList_DP9,0)&gt;0,FALSE),OFFSET(L6,3,0),0),IF(IFERROR(MATCH(M6,RankList_DP9,0)&gt;0,FALSE),OFFSET(M6,3,0),0),IF(IFERROR(MATCH(N6,RankList_DP9,0)&gt;0,FALSE),OFFSET(N6,3,0),0),IF(IFERROR(MATCH(O6,RankList_DP9,0)&gt;0,FALSE),OFFSET(O6,3,0),0),IF(IFERROR(MATCH(P6,RankList_DP9,0)&gt;0,FALSE),OFFSET(P6,3,0),0),IF(IFERROR(MATCH(Q6,RankList_DP9,0)&gt;0,FALSE),OFFSET(Q6,3,0),0),IF(IFERROR(MATCH(R6,RankList_DP9,0)&gt;0,FALSE),OFFSET(R6,3,0),0),IF(IFERROR(MATCH(S6,RankList_DP9,0)&gt;0,FALSE),OFFSET(S6,3,0),0),IF(IFERROR(MATCH(T6,RankList_DP9,0)&gt;0,FALSE),OFFSET(T6,3,0),0),IF(IFERROR(MATCH(U6,RankList_DP9,0)&gt;0,FALSE),OFFSET(U6,3,0),0),IF(IFERROR(MATCH(V6,RankList_DP9,0)&gt;0,FALSE),OFFSET(V6,3,0),0),IF(IFERROR(MATCH(W6,RankList_DP9,0)&gt;0,FALSE),OFFSET(W6,3,0),0),IF(IFERROR(MATCH(X6,RankList_DP9,0)&gt;0,FALSE),OFFSET(X6,3,0),0),IF(IFERROR(MATCH(Y6,RankList_DP9,0)&gt;0,FALSE),OFFSET(Y6,3,0),0),IF(IFERROR(MATCH(Z6,RankList_DP9,0)&gt;0,FALSE),OFFSET(Z6,3,0),0),IF(IFERROR(MATCH(AA6,RankList_DP9,0)&gt;0,FALSE),OFFSET(AA6,3,0),0)),0)</f>
        <v>0</v>
      </c>
      <c r="S31" s="65">
        <f t="shared" ca="1" si="32"/>
        <v>0</v>
      </c>
      <c r="T31" s="159"/>
      <c r="U31" s="157"/>
      <c r="V31" s="158"/>
      <c r="W31" s="157"/>
      <c r="X31" s="157"/>
      <c r="Y31" s="155"/>
      <c r="Z31" s="155"/>
      <c r="AA31" s="154"/>
      <c r="AB31" s="155"/>
      <c r="AC31" s="154"/>
      <c r="AD31" s="154"/>
      <c r="AE31" s="194"/>
      <c r="AF31" s="154"/>
      <c r="AG31" s="154"/>
      <c r="AH31" s="154"/>
      <c r="AI31" s="154"/>
      <c r="AJ31" s="154"/>
      <c r="AK31" s="154"/>
    </row>
    <row r="32" spans="1:37" s="156" customFormat="1" ht="15.75" hidden="1" thickBot="1" x14ac:dyDescent="0.3">
      <c r="A32" s="11" t="str">
        <f>IF(DevMode!A5="","Unused",DevMode!A5)</f>
        <v>Delta</v>
      </c>
      <c r="B32" s="66">
        <f ca="1">IF(DevMode!E16=TRUE,SUM(IF(IFERROR(MATCH(B6,RankList_DP1,0)&gt;0,FALSE),OFFSET(B6,4,0),0),IF(IFERROR(MATCH(C6,RankList_DP1,0)&gt;0,FALSE),OFFSET(C6,4,0),0),IF(IFERROR(MATCH(D6,RankList_DP1,0)&gt;0,FALSE),OFFSET(D6,4,0),0),IF(IFERROR(MATCH(E6,RankList_DP1,0)&gt;0,FALSE),OFFSET(E6,4,0),0),IF(IFERROR(MATCH(F6,RankList_DP1,0)&gt;0,FALSE),OFFSET(F6,4,0),0),IF(IFERROR(MATCH(G6,RankList_DP1,0)&gt;0,FALSE),OFFSET(G6,4,0),0),IF(IFERROR(MATCH(H6,RankList_DP1,0)&gt;0,FALSE),OFFSET(H6,4,0),0),IF(IFERROR(MATCH(I6,RankList_DP1,0)&gt;0,FALSE),OFFSET(I6,4,0),0),IF(IFERROR(MATCH(J6,RankList_DP1,0)&gt;0,FALSE),OFFSET(J6,4,0),0),IF(IFERROR(MATCH(J6,RankList_DP1,0)&gt;0,FALSE),OFFSET(K6,4,0),0),IF(IFERROR(MATCH(L6,RankList_DP1,0)&gt;0,FALSE),OFFSET(L6,4,0),0),IF(IFERROR(MATCH(M6,RankList_DP1,0)&gt;0,FALSE),OFFSET(M6,4,0),0),IF(IFERROR(MATCH(N6,RankList_DP1,0)&gt;0,FALSE),OFFSET(N6,4,0),0),IF(IFERROR(MATCH(O6,RankList_DP1,0)&gt;0,FALSE),OFFSET(O6,4,0),0),IF(IFERROR(MATCH(P6,RankList_DP1,0)&gt;0,FALSE),OFFSET(P6,4,0),0),IF(IFERROR(MATCH(Q6,RankList_DP1,0)&gt;0,FALSE),OFFSET(Q6,4,0),0),IF(IFERROR(MATCH(R6,RankList_DP1,0)&gt;0,FALSE),OFFSET(R6,4,0),0),IF(IFERROR(MATCH(S6,RankList_DP1,0)&gt;0,FALSE),OFFSET(S6,4,0),0),IF(IFERROR(MATCH(T6,RankList_DP1,0)&gt;0,FALSE),OFFSET(T6,4,0),0),IF(IFERROR(MATCH(U6,RankList_DP1,0)&gt;0,FALSE),OFFSET(U6,4,0),0),IF(IFERROR(MATCH(V6,RankList_DP1,0)&gt;0,FALSE),OFFSET(V6,4,0),0),IF(IFERROR(MATCH(W6,RankList_DP1,0)&gt;0,FALSE),OFFSET(W6,4,0),0),IF(IFERROR(MATCH(X6,RankList_DP1,0)&gt;0,FALSE),OFFSET(X6,4,0),0),IF(IFERROR(MATCH(Y6,RankList_DP1,0)&gt;0,FALSE),OFFSET(Y6,4,0),0),IF(IFERROR(MATCH(Z6,RankList_DP1,0)&gt;0,FALSE),OFFSET(Z6,4,0),0),IF(IFERROR(MATCH(AA6,RankList_DP1,0)&gt;0,FALSE),OFFSET(AA6,4,0),0)),0)</f>
        <v>0</v>
      </c>
      <c r="C32" s="67">
        <f t="shared" ca="1" si="24"/>
        <v>0</v>
      </c>
      <c r="D32" s="66">
        <f ca="1">IF(DevMode!E17=TRUE,SUM(IF(IFERROR(MATCH(B6,RankList_DP2,0)&gt;0,FALSE),OFFSET(B6,4,0),0),IF(IFERROR(MATCH(C6,RankList_DP2,0)&gt;0,FALSE),OFFSET(C6,4,0),0),IF(IFERROR(MATCH(D6,RankList_DP2,0)&gt;0,FALSE),OFFSET(D6,4,0),0),IF(IFERROR(MATCH(E6,RankList_DP2,0)&gt;0,FALSE),OFFSET(E6,4,0),0),IF(IFERROR(MATCH(F6,RankList_DP2,0)&gt;0,FALSE),OFFSET(F6,4,0),0),IF(IFERROR(MATCH(G6,RankList_DP2,0)&gt;0,FALSE),OFFSET(G6,4,0),0),IF(IFERROR(MATCH(H6,RankList_DP2,0)&gt;0,FALSE),OFFSET(H6,4,0),0),IF(IFERROR(MATCH(I6,RankList_DP2,0)&gt;0,FALSE),OFFSET(I6,4,0),0),IF(IFERROR(MATCH(J6,RankList_DP2,0)&gt;0,FALSE),OFFSET(J6,4,0),0),IF(IFERROR(MATCH(J6,RankList_DP2,0)&gt;0,FALSE),OFFSET(K6,4,0),0),IF(IFERROR(MATCH(L6,RankList_DP2,0)&gt;0,FALSE),OFFSET(L6,4,0),0),IF(IFERROR(MATCH(M6,RankList_DP2,0)&gt;0,FALSE),OFFSET(M6,4,0),0),IF(IFERROR(MATCH(N6,RankList_DP2,0)&gt;0,FALSE),OFFSET(N6,4,0),0),IF(IFERROR(MATCH(O6,RankList_DP2,0)&gt;0,FALSE),OFFSET(O6,4,0),0),IF(IFERROR(MATCH(P6,RankList_DP2,0)&gt;0,FALSE),OFFSET(P6,4,0),0),IF(IFERROR(MATCH(Q6,RankList_DP2,0)&gt;0,FALSE),OFFSET(Q6,4,0),0),IF(IFERROR(MATCH(R6,RankList_DP2,0)&gt;0,FALSE),OFFSET(R6,4,0),0),IF(IFERROR(MATCH(S6,RankList_DP2,0)&gt;0,FALSE),OFFSET(S6,4,0),0),IF(IFERROR(MATCH(T6,RankList_DP2,0)&gt;0,FALSE),OFFSET(T6,4,0),0),IF(IFERROR(MATCH(U6,RankList_DP2,0)&gt;0,FALSE),OFFSET(U6,4,0),0),IF(IFERROR(MATCH(V6,RankList_DP2,0)&gt;0,FALSE),OFFSET(V6,4,0),0),IF(IFERROR(MATCH(W6,RankList_DP2,0)&gt;0,FALSE),OFFSET(W6,4,0),0),IF(IFERROR(MATCH(X6,RankList_DP2,0)&gt;0,FALSE),OFFSET(X6,4,0),0),IF(IFERROR(MATCH(Y6,RankList_DP2,0)&gt;0,FALSE),OFFSET(Y6,4,0),0),IF(IFERROR(MATCH(Z6,RankList_DP2,0)&gt;0,FALSE),OFFSET(Z6,4,0),0),IF(IFERROR(MATCH(AA6,RankList_DP2,0)&gt;0,FALSE),OFFSET(AA6,4,0),0)),0)</f>
        <v>0</v>
      </c>
      <c r="E32" s="67">
        <f t="shared" ca="1" si="25"/>
        <v>0</v>
      </c>
      <c r="F32" s="66">
        <f ca="1">IF(DevMode!E18=TRUE,SUM(IF(IFERROR(MATCH(B6,RankList_DP3,0)&gt;0,FALSE),OFFSET(B6,4,0),0),IF(IFERROR(MATCH(C6,RankList_DP3,0)&gt;0,FALSE),OFFSET(C6,4,0),0),IF(IFERROR(MATCH(D6,RankList_DP3,0)&gt;0,FALSE),OFFSET(D6,4,0),0),IF(IFERROR(MATCH(E6,RankList_DP3,0)&gt;0,FALSE),OFFSET(E6,4,0),0),IF(IFERROR(MATCH(F6,RankList_DP3,0)&gt;0,FALSE),OFFSET(F6,4,0),0),IF(IFERROR(MATCH(G6,RankList_DP3,0)&gt;0,FALSE),OFFSET(G6,4,0),0),IF(IFERROR(MATCH(H6,RankList_DP3,0)&gt;0,FALSE),OFFSET(H6,4,0),0),IF(IFERROR(MATCH(I6,RankList_DP3,0)&gt;0,FALSE),OFFSET(I6,4,0),0),IF(IFERROR(MATCH(J6,RankList_DP3,0)&gt;0,FALSE),OFFSET(J6,4,0),0),IF(IFERROR(MATCH(J6,RankList_DP3,0)&gt;0,FALSE),OFFSET(K6,4,0),0),IF(IFERROR(MATCH(L6,RankList_DP3,0)&gt;0,FALSE),OFFSET(L6,4,0),0),IF(IFERROR(MATCH(M6,RankList_DP3,0)&gt;0,FALSE),OFFSET(M6,4,0),0),IF(IFERROR(MATCH(N6,RankList_DP3,0)&gt;0,FALSE),OFFSET(N6,4,0),0),IF(IFERROR(MATCH(O6,RankList_DP3,0)&gt;0,FALSE),OFFSET(O6,4,0),0),IF(IFERROR(MATCH(P6,RankList_DP3,0)&gt;0,FALSE),OFFSET(P6,4,0),0),IF(IFERROR(MATCH(Q6,RankList_DP3,0)&gt;0,FALSE),OFFSET(Q6,4,0),0),IF(IFERROR(MATCH(R6,RankList_DP3,0)&gt;0,FALSE),OFFSET(R6,4,0),0),IF(IFERROR(MATCH(S6,RankList_DP3,0)&gt;0,FALSE),OFFSET(S6,4,0),0),IF(IFERROR(MATCH(T6,RankList_DP3,0)&gt;0,FALSE),OFFSET(T6,4,0),0),IF(IFERROR(MATCH(U6,RankList_DP3,0)&gt;0,FALSE),OFFSET(U6,4,0),0),IF(IFERROR(MATCH(V6,RankList_DP3,0)&gt;0,FALSE),OFFSET(V6,4,0),0),IF(IFERROR(MATCH(W6,RankList_DP3,0)&gt;0,FALSE),OFFSET(W6,4,0),0),IF(IFERROR(MATCH(X6,RankList_DP3,0)&gt;0,FALSE),OFFSET(X6,4,0),0),IF(IFERROR(MATCH(Y6,RankList_DP3,0)&gt;0,FALSE),OFFSET(Y6,4,0),0),IF(IFERROR(MATCH(Z6,RankList_DP3,0)&gt;0,FALSE),OFFSET(Z6,4,0),0),IF(IFERROR(MATCH(AA6,RankList_DP3,0)&gt;0,FALSE),OFFSET(AA6,4,0),0)),0)</f>
        <v>0</v>
      </c>
      <c r="G32" s="67">
        <f t="shared" ca="1" si="26"/>
        <v>0</v>
      </c>
      <c r="H32" s="66">
        <f ca="1">IF(DevMode!E19=TRUE,SUM(IF(IFERROR(MATCH(B6,RankList_DP4,0)&gt;0,FALSE),OFFSET(B6,4,0),0),IF(IFERROR(MATCH(C6,RankList_DP4,0)&gt;0,FALSE),OFFSET(C6,4,0),0),IF(IFERROR(MATCH(D6,RankList_DP4,0)&gt;0,FALSE),OFFSET(D6,4,0),0),IF(IFERROR(MATCH(E6,RankList_DP4,0)&gt;0,FALSE),OFFSET(E6,4,0),0),IF(IFERROR(MATCH(F6,RankList_DP4,0)&gt;0,FALSE),OFFSET(F6,4,0),0),IF(IFERROR(MATCH(G6,RankList_DP4,0)&gt;0,FALSE),OFFSET(G6,4,0),0),IF(IFERROR(MATCH(H6,RankList_DP4,0)&gt;0,FALSE),OFFSET(H6,4,0),0),IF(IFERROR(MATCH(I6,RankList_DP4,0)&gt;0,FALSE),OFFSET(I6,4,0),0),IF(IFERROR(MATCH(J6,RankList_DP4,0)&gt;0,FALSE),OFFSET(J6,4,0),0),IF(IFERROR(MATCH(J6,RankList_DP4,0)&gt;0,FALSE),OFFSET(K6,4,0),0),IF(IFERROR(MATCH(L6,RankList_DP4,0)&gt;0,FALSE),OFFSET(L6,4,0),0),IF(IFERROR(MATCH(M6,RankList_DP4,0)&gt;0,FALSE),OFFSET(M6,4,0),0),IF(IFERROR(MATCH(N6,RankList_DP4,0)&gt;0,FALSE),OFFSET(N6,4,0),0),IF(IFERROR(MATCH(O6,RankList_DP4,0)&gt;0,FALSE),OFFSET(O6,4,0),0),IF(IFERROR(MATCH(P6,RankList_DP4,0)&gt;0,FALSE),OFFSET(P6,4,0),0),IF(IFERROR(MATCH(Q6,RankList_DP4,0)&gt;0,FALSE),OFFSET(Q6,4,0),0),IF(IFERROR(MATCH(R6,RankList_DP4,0)&gt;0,FALSE),OFFSET(R6,4,0),0),IF(IFERROR(MATCH(S6,RankList_DP4,0)&gt;0,FALSE),OFFSET(S6,4,0),0),IF(IFERROR(MATCH(T6,RankList_DP4,0)&gt;0,FALSE),OFFSET(T6,4,0),0),IF(IFERROR(MATCH(U6,RankList_DP4,0)&gt;0,FALSE),OFFSET(U6,4,0),0),IF(IFERROR(MATCH(V6,RankList_DP4,0)&gt;0,FALSE),OFFSET(V6,4,0),0),IF(IFERROR(MATCH(W6,RankList_DP4,0)&gt;0,FALSE),OFFSET(W6,4,0),0),IF(IFERROR(MATCH(X6,RankList_DP4,0)&gt;0,FALSE),OFFSET(X6,4,0),0),IF(IFERROR(MATCH(Y6,RankList_DP4,0)&gt;0,FALSE),OFFSET(Y6,4,0),0),IF(IFERROR(MATCH(Z6,RankList_DP4,0)&gt;0,FALSE),OFFSET(Z6,4,0),0),IF(IFERROR(MATCH(AA6,RankList_DP4,0)&gt;0,FALSE),OFFSET(AA6,4,0),0)),0)</f>
        <v>0</v>
      </c>
      <c r="I32" s="67">
        <f t="shared" ca="1" si="27"/>
        <v>0</v>
      </c>
      <c r="J32" s="66">
        <f ca="1">IF(DevMode!E20=TRUE,SUM(IF(IFERROR(MATCH(B6,RankList_DP5,0)&gt;0,FALSE),OFFSET(B6,4,0),0),IF(IFERROR(MATCH(C6,RankList_DP5,0)&gt;0,FALSE),OFFSET(C6,4,0),0),IF(IFERROR(MATCH(D6,RankList_DP5,0)&gt;0,FALSE),OFFSET(D6,4,0),0),IF(IFERROR(MATCH(E6,RankList_DP5,0)&gt;0,FALSE),OFFSET(E6,4,0),0),IF(IFERROR(MATCH(F6,RankList_DP5,0)&gt;0,FALSE),OFFSET(F6,4,0),0),IF(IFERROR(MATCH(G6,RankList_DP5,0)&gt;0,FALSE),OFFSET(G6,4,0),0),IF(IFERROR(MATCH(H6,RankList_DP5,0)&gt;0,FALSE),OFFSET(H6,4,0),0),IF(IFERROR(MATCH(I6,RankList_DP5,0)&gt;0,FALSE),OFFSET(I6,4,0),0),IF(IFERROR(MATCH(J6,RankList_DP5,0)&gt;0,FALSE),OFFSET(J6,4,0),0),IF(IFERROR(MATCH(J6,RankList_DP5,0)&gt;0,FALSE),OFFSET(K6,4,0),0),IF(IFERROR(MATCH(L6,RankList_DP5,0)&gt;0,FALSE),OFFSET(L6,4,0),0),IF(IFERROR(MATCH(M6,RankList_DP5,0)&gt;0,FALSE),OFFSET(M6,4,0),0),IF(IFERROR(MATCH(N6,RankList_DP5,0)&gt;0,FALSE),OFFSET(N6,4,0),0),IF(IFERROR(MATCH(O6,RankList_DP5,0)&gt;0,FALSE),OFFSET(O6,4,0),0),IF(IFERROR(MATCH(P6,RankList_DP5,0)&gt;0,FALSE),OFFSET(P6,4,0),0),IF(IFERROR(MATCH(Q6,RankList_DP5,0)&gt;0,FALSE),OFFSET(Q6,4,0),0),IF(IFERROR(MATCH(R6,RankList_DP5,0)&gt;0,FALSE),OFFSET(R6,4,0),0),IF(IFERROR(MATCH(S6,RankList_DP5,0)&gt;0,FALSE),OFFSET(S6,4,0),0),IF(IFERROR(MATCH(T6,RankList_DP5,0)&gt;0,FALSE),OFFSET(T6,4,0),0),IF(IFERROR(MATCH(U6,RankList_DP5,0)&gt;0,FALSE),OFFSET(U6,4,0),0),IF(IFERROR(MATCH(V6,RankList_DP5,0)&gt;0,FALSE),OFFSET(V6,4,0),0),IF(IFERROR(MATCH(W6,RankList_DP5,0)&gt;0,FALSE),OFFSET(W6,4,0),0),IF(IFERROR(MATCH(X6,RankList_DP5,0)&gt;0,FALSE),OFFSET(X6,4,0),0),IF(IFERROR(MATCH(Y6,RankList_DP5,0)&gt;0,FALSE),OFFSET(Y6,4,0),0),IF(IFERROR(MATCH(Z6,RankList_DP5,0)&gt;0,FALSE),OFFSET(Z6,4,0),0),IF(IFERROR(MATCH(AA6,RankList_DP5,0)&gt;0,FALSE),OFFSET(AA6,4,0),0)),0)</f>
        <v>0</v>
      </c>
      <c r="K32" s="67">
        <f t="shared" ca="1" si="28"/>
        <v>0</v>
      </c>
      <c r="L32" s="66">
        <f ca="1">IF(DevMode!E21=TRUE,SUM(IF(IFERROR(MATCH(B6,RankList_DP6,0)&gt;0,FALSE),OFFSET(B6,4,0),0),IF(IFERROR(MATCH(C6,RankList_DP6,0)&gt;0,FALSE),OFFSET(C6,4,0),0),IF(IFERROR(MATCH(D6,RankList_DP6,0)&gt;0,FALSE),OFFSET(D6,4,0),0),IF(IFERROR(MATCH(E6,RankList_DP6,0)&gt;0,FALSE),OFFSET(E6,4,0),0),IF(IFERROR(MATCH(F6,RankList_DP6,0)&gt;0,FALSE),OFFSET(F6,4,0),0),IF(IFERROR(MATCH(G6,RankList_DP6,0)&gt;0,FALSE),OFFSET(G6,4,0),0),IF(IFERROR(MATCH(H6,RankList_DP6,0)&gt;0,FALSE),OFFSET(H6,4,0),0),IF(IFERROR(MATCH(I6,RankList_DP6,0)&gt;0,FALSE),OFFSET(I6,4,0),0),IF(IFERROR(MATCH(J6,RankList_DP6,0)&gt;0,FALSE),OFFSET(J6,4,0),0),IF(IFERROR(MATCH(J6,RankList_DP6,0)&gt;0,FALSE),OFFSET(K6,4,0),0),IF(IFERROR(MATCH(L6,RankList_DP6,0)&gt;0,FALSE),OFFSET(L6,4,0),0),IF(IFERROR(MATCH(M6,RankList_DP6,0)&gt;0,FALSE),OFFSET(M6,4,0),0),IF(IFERROR(MATCH(N6,RankList_DP6,0)&gt;0,FALSE),OFFSET(N6,4,0),0),IF(IFERROR(MATCH(O6,RankList_DP6,0)&gt;0,FALSE),OFFSET(O6,4,0),0),IF(IFERROR(MATCH(P6,RankList_DP6,0)&gt;0,FALSE),OFFSET(P6,4,0),0),IF(IFERROR(MATCH(Q6,RankList_DP6,0)&gt;0,FALSE),OFFSET(Q6,4,0),0),IF(IFERROR(MATCH(R6,RankList_DP6,0)&gt;0,FALSE),OFFSET(R6,4,0),0),IF(IFERROR(MATCH(S6,RankList_DP6,0)&gt;0,FALSE),OFFSET(S6,4,0),0),IF(IFERROR(MATCH(T6,RankList_DP6,0)&gt;0,FALSE),OFFSET(T6,4,0),0),IF(IFERROR(MATCH(U6,RankList_DP6,0)&gt;0,FALSE),OFFSET(U6,4,0),0),IF(IFERROR(MATCH(V6,RankList_DP6,0)&gt;0,FALSE),OFFSET(V6,4,0),0),IF(IFERROR(MATCH(W6,RankList_DP6,0)&gt;0,FALSE),OFFSET(W6,4,0),0),IF(IFERROR(MATCH(X6,RankList_DP6,0)&gt;0,FALSE),OFFSET(X6,4,0),0),IF(IFERROR(MATCH(Y6,RankList_DP6,0)&gt;0,FALSE),OFFSET(Y6,4,0),0),IF(IFERROR(MATCH(Z6,RankList_DP6,0)&gt;0,FALSE),OFFSET(Z6,4,0),0),IF(IFERROR(MATCH(AA6,RankList_DP6,0)&gt;0,FALSE),OFFSET(AA6,4,0),0)),0)</f>
        <v>0</v>
      </c>
      <c r="M32" s="67">
        <f t="shared" ca="1" si="29"/>
        <v>0</v>
      </c>
      <c r="N32" s="66">
        <f ca="1">IF(DevMode!E22=TRUE,SUM(IF(IFERROR(MATCH(B6,RankList_DP7,0)&gt;0,FALSE),OFFSET(B6,4,0),0),IF(IFERROR(MATCH(C6,RankList_DP7,0)&gt;0,FALSE),OFFSET(C6,4,0),0),IF(IFERROR(MATCH(D6,RankList_DP7,0)&gt;0,FALSE),OFFSET(D6,4,0),0),IF(IFERROR(MATCH(E6,RankList_DP7,0)&gt;0,FALSE),OFFSET(E6,4,0),0),IF(IFERROR(MATCH(F6,RankList_DP7,0)&gt;0,FALSE),OFFSET(F6,4,0),0),IF(IFERROR(MATCH(G6,RankList_DP7,0)&gt;0,FALSE),OFFSET(G6,4,0),0),IF(IFERROR(MATCH(H6,RankList_DP7,0)&gt;0,FALSE),OFFSET(H6,4,0),0),IF(IFERROR(MATCH(I6,RankList_DP7,0)&gt;0,FALSE),OFFSET(I6,4,0),0),IF(IFERROR(MATCH(J6,RankList_DP7,0)&gt;0,FALSE),OFFSET(J6,4,0),0),IF(IFERROR(MATCH(J6,RankList_DP7,0)&gt;0,FALSE),OFFSET(K6,4,0),0),IF(IFERROR(MATCH(L6,RankList_DP7,0)&gt;0,FALSE),OFFSET(L6,4,0),0),IF(IFERROR(MATCH(M6,RankList_DP7,0)&gt;0,FALSE),OFFSET(M6,4,0),0),IF(IFERROR(MATCH(N6,RankList_DP7,0)&gt;0,FALSE),OFFSET(N6,4,0),0),IF(IFERROR(MATCH(O6,RankList_DP7,0)&gt;0,FALSE),OFFSET(O6,4,0),0),IF(IFERROR(MATCH(P6,RankList_DP7,0)&gt;0,FALSE),OFFSET(P6,4,0),0),IF(IFERROR(MATCH(Q6,RankList_DP7,0)&gt;0,FALSE),OFFSET(Q6,4,0),0),IF(IFERROR(MATCH(R6,RankList_DP7,0)&gt;0,FALSE),OFFSET(R6,4,0),0),IF(IFERROR(MATCH(S6,RankList_DP7,0)&gt;0,FALSE),OFFSET(S6,4,0),0),IF(IFERROR(MATCH(T6,RankList_DP7,0)&gt;0,FALSE),OFFSET(T6,4,0),0),IF(IFERROR(MATCH(U6,RankList_DP7,0)&gt;0,FALSE),OFFSET(U6,4,0),0),IF(IFERROR(MATCH(V6,RankList_DP7,0)&gt;0,FALSE),OFFSET(V6,4,0),0),IF(IFERROR(MATCH(W6,RankList_DP7,0)&gt;0,FALSE),OFFSET(W6,4,0),0),IF(IFERROR(MATCH(X6,RankList_DP7,0)&gt;0,FALSE),OFFSET(X6,4,0),0),IF(IFERROR(MATCH(Y6,RankList_DP7,0)&gt;0,FALSE),OFFSET(Y6,4,0),0),IF(IFERROR(MATCH(Z6,RankList_DP7,0)&gt;0,FALSE),OFFSET(Z6,4,0),0),IF(IFERROR(MATCH(AA6,RankList_DP7,0)&gt;0,FALSE),OFFSET(AA6,4,0),0)),0)</f>
        <v>0</v>
      </c>
      <c r="O32" s="67">
        <f t="shared" ca="1" si="30"/>
        <v>0</v>
      </c>
      <c r="P32" s="66">
        <f ca="1">IF(DevMode!E23=TRUE,SUM(IF(IFERROR(MATCH(B6,RankList_DP8,0)&gt;0,FALSE),OFFSET(B6,4,0),0),IF(IFERROR(MATCH(C6,RankList_DP8,0)&gt;0,FALSE),OFFSET(C6,4,0),0),IF(IFERROR(MATCH(D6,RankList_DP8,0)&gt;0,FALSE),OFFSET(D6,4,0),0),IF(IFERROR(MATCH(E6,RankList_DP8,0)&gt;0,FALSE),OFFSET(E6,4,0),0),IF(IFERROR(MATCH(F6,RankList_DP8,0)&gt;0,FALSE),OFFSET(F6,4,0),0),IF(IFERROR(MATCH(G6,RankList_DP8,0)&gt;0,FALSE),OFFSET(G6,4,0),0),IF(IFERROR(MATCH(H6,RankList_DP8,0)&gt;0,FALSE),OFFSET(H6,4,0),0),IF(IFERROR(MATCH(I6,RankList_DP8,0)&gt;0,FALSE),OFFSET(I6,4,0),0),IF(IFERROR(MATCH(J6,RankList_DP8,0)&gt;0,FALSE),OFFSET(J6,4,0),0),IF(IFERROR(MATCH(J6,RankList_DP8,0)&gt;0,FALSE),OFFSET(K6,4,0),0),IF(IFERROR(MATCH(L6,RankList_DP8,0)&gt;0,FALSE),OFFSET(L6,4,0),0),IF(IFERROR(MATCH(M6,RankList_DP8,0)&gt;0,FALSE),OFFSET(M6,4,0),0),IF(IFERROR(MATCH(N6,RankList_DP8,0)&gt;0,FALSE),OFFSET(N6,4,0),0),IF(IFERROR(MATCH(O6,RankList_DP8,0)&gt;0,FALSE),OFFSET(O6,4,0),0),IF(IFERROR(MATCH(P6,RankList_DP8,0)&gt;0,FALSE),OFFSET(P6,4,0),0),IF(IFERROR(MATCH(Q6,RankList_DP8,0)&gt;0,FALSE),OFFSET(Q6,4,0),0),IF(IFERROR(MATCH(R6,RankList_DP8,0)&gt;0,FALSE),OFFSET(R6,4,0),0),IF(IFERROR(MATCH(S6,RankList_DP8,0)&gt;0,FALSE),OFFSET(S6,4,0),0),IF(IFERROR(MATCH(T6,RankList_DP8,0)&gt;0,FALSE),OFFSET(T6,4,0),0),IF(IFERROR(MATCH(U6,RankList_DP8,0)&gt;0,FALSE),OFFSET(U6,4,0),0),IF(IFERROR(MATCH(V6,RankList_DP8,0)&gt;0,FALSE),OFFSET(V6,4,0),0),IF(IFERROR(MATCH(W6,RankList_DP8,0)&gt;0,FALSE),OFFSET(W6,4,0),0),IF(IFERROR(MATCH(X6,RankList_DP8,0)&gt;0,FALSE),OFFSET(X6,4,0),0),IF(IFERROR(MATCH(Y6,RankList_DP8,0)&gt;0,FALSE),OFFSET(Y6,4,0),0),IF(IFERROR(MATCH(Z6,RankList_DP8,0)&gt;0,FALSE),OFFSET(Z6,4,0),0),IF(IFERROR(MATCH(AA6,RankList_DP8,0)&gt;0,FALSE),OFFSET(AA6,4,0),0)),0)</f>
        <v>0</v>
      </c>
      <c r="Q32" s="67">
        <f t="shared" ca="1" si="31"/>
        <v>0</v>
      </c>
      <c r="R32" s="66">
        <f ca="1">IF(DevMode!E24=TRUE,SUM(IF(IFERROR(MATCH(B6,RankList_DP9,0)&gt;0,FALSE),OFFSET(B6,4,0),0),IF(IFERROR(MATCH(C6,RankList_DP9,0)&gt;0,FALSE),OFFSET(C6,4,0),0),IF(IFERROR(MATCH(D6,RankList_DP9,0)&gt;0,FALSE),OFFSET(D6,4,0),0),IF(IFERROR(MATCH(E6,RankList_DP9,0)&gt;0,FALSE),OFFSET(E6,4,0),0),IF(IFERROR(MATCH(F6,RankList_DP9,0)&gt;0,FALSE),OFFSET(F6,4,0),0),IF(IFERROR(MATCH(G6,RankList_DP9,0)&gt;0,FALSE),OFFSET(G6,4,0),0),IF(IFERROR(MATCH(H6,RankList_DP9,0)&gt;0,FALSE),OFFSET(H6,4,0),0),IF(IFERROR(MATCH(I6,RankList_DP9,0)&gt;0,FALSE),OFFSET(I6,4,0),0),IF(IFERROR(MATCH(J6,RankList_DP9,0)&gt;0,FALSE),OFFSET(J6,4,0),0),IF(IFERROR(MATCH(J6,RankList_DP9,0)&gt;0,FALSE),OFFSET(K6,4,0),0),IF(IFERROR(MATCH(L6,RankList_DP9,0)&gt;0,FALSE),OFFSET(L6,4,0),0),IF(IFERROR(MATCH(M6,RankList_DP9,0)&gt;0,FALSE),OFFSET(M6,4,0),0),IF(IFERROR(MATCH(N6,RankList_DP9,0)&gt;0,FALSE),OFFSET(N6,4,0),0),IF(IFERROR(MATCH(O6,RankList_DP9,0)&gt;0,FALSE),OFFSET(O6,4,0),0),IF(IFERROR(MATCH(P6,RankList_DP9,0)&gt;0,FALSE),OFFSET(P6,4,0),0),IF(IFERROR(MATCH(Q6,RankList_DP9,0)&gt;0,FALSE),OFFSET(Q6,4,0),0),IF(IFERROR(MATCH(R6,RankList_DP9,0)&gt;0,FALSE),OFFSET(R6,4,0),0),IF(IFERROR(MATCH(S6,RankList_DP9,0)&gt;0,FALSE),OFFSET(S6,4,0),0),IF(IFERROR(MATCH(T6,RankList_DP9,0)&gt;0,FALSE),OFFSET(T6,4,0),0),IF(IFERROR(MATCH(U6,RankList_DP9,0)&gt;0,FALSE),OFFSET(U6,4,0),0),IF(IFERROR(MATCH(V6,RankList_DP9,0)&gt;0,FALSE),OFFSET(V6,4,0),0),IF(IFERROR(MATCH(W6,RankList_DP9,0)&gt;0,FALSE),OFFSET(W6,4,0),0),IF(IFERROR(MATCH(X6,RankList_DP9,0)&gt;0,FALSE),OFFSET(X6,4,0),0),IF(IFERROR(MATCH(Y6,RankList_DP9,0)&gt;0,FALSE),OFFSET(Y6,4,0),0),IF(IFERROR(MATCH(Z6,RankList_DP9,0)&gt;0,FALSE),OFFSET(Z6,4,0),0),IF(IFERROR(MATCH(AA6,RankList_DP9,0)&gt;0,FALSE),OFFSET(AA6,4,0),0)),0)</f>
        <v>0</v>
      </c>
      <c r="S32" s="67">
        <f t="shared" ca="1" si="32"/>
        <v>0</v>
      </c>
      <c r="T32" s="159"/>
      <c r="U32" s="157"/>
      <c r="V32" s="158"/>
      <c r="W32" s="157"/>
      <c r="X32" s="157"/>
      <c r="Y32" s="155"/>
      <c r="Z32" s="155"/>
      <c r="AA32" s="154"/>
      <c r="AB32" s="155"/>
      <c r="AC32" s="154"/>
      <c r="AD32" s="154"/>
      <c r="AE32" s="194"/>
      <c r="AF32" s="154"/>
      <c r="AG32" s="154"/>
      <c r="AH32" s="154"/>
      <c r="AI32" s="154"/>
      <c r="AJ32" s="154"/>
      <c r="AK32" s="154"/>
    </row>
    <row r="33" spans="1:37" s="156" customFormat="1" ht="15.75" hidden="1" thickBot="1" x14ac:dyDescent="0.3">
      <c r="A33" s="12" t="str">
        <f>IF(DevMode!A6="","Unused",DevMode!A6)</f>
        <v>GS</v>
      </c>
      <c r="B33" s="68">
        <f ca="1">IF(DevMode!F16=TRUE,SUM(IF(IFERROR(MATCH(B6,RankList_DP1,0)&gt;0,FALSE),OFFSET(B6,5,0),0),IF(IFERROR(MATCH(C6,RankList_DP1,0)&gt;0,FALSE),OFFSET(C6,5,0),0),IF(IFERROR(MATCH(D6,RankList_DP1,0)&gt;0,FALSE),OFFSET(D6,5,0),0),IF(IFERROR(MATCH(E6,RankList_DP1,0)&gt;0,FALSE),OFFSET(E6,5,0),0),IF(IFERROR(MATCH(F6,RankList_DP1,0)&gt;0,FALSE),OFFSET(F6,5,0),0),IF(IFERROR(MATCH(G6,RankList_DP1,0)&gt;0,FALSE),OFFSET(G6,5,0),0),IF(IFERROR(MATCH(H6,RankList_DP1,0)&gt;0,FALSE),OFFSET(H6,5,0),0),IF(IFERROR(MATCH(I6,RankList_DP1,0)&gt;0,FALSE),OFFSET(I6,5,0),0),IF(IFERROR(MATCH(J6,RankList_DP1,0)&gt;0,FALSE),OFFSET(J6,5,0),0),IF(IFERROR(MATCH(J6,RankList_DP1,0)&gt;0,FALSE),OFFSET(K6,5,0),0),IF(IFERROR(MATCH(L6,RankList_DP1,0)&gt;0,FALSE),OFFSET(L6,5,0),0),IF(IFERROR(MATCH(M6,RankList_DP1,0)&gt;0,FALSE),OFFSET(M6,5,0),0),IF(IFERROR(MATCH(N6,RankList_DP1,0)&gt;0,FALSE),OFFSET(N6,5,0),0),IF(IFERROR(MATCH(O6,RankList_DP1,0)&gt;0,FALSE),OFFSET(O6,5,0),0),IF(IFERROR(MATCH(P6,RankList_DP1,0)&gt;0,FALSE),OFFSET(P6,5,0),0),IF(IFERROR(MATCH(Q6,RankList_DP1,0)&gt;0,FALSE),OFFSET(Q6,5,0),0),IF(IFERROR(MATCH(R6,RankList_DP1,0)&gt;0,FALSE),OFFSET(R6,5,0),0),IF(IFERROR(MATCH(S6,RankList_DP1,0)&gt;0,FALSE),OFFSET(S6,5,0),0),IF(IFERROR(MATCH(T6,RankList_DP1,0)&gt;0,FALSE),OFFSET(T6,5,0),0),IF(IFERROR(MATCH(U6,RankList_DP1,0)&gt;0,FALSE),OFFSET(U6,5,0),0),IF(IFERROR(MATCH(V6,RankList_DP1,0)&gt;0,FALSE),OFFSET(V6,5,0),0),IF(IFERROR(MATCH(W6,RankList_DP1,0)&gt;0,FALSE),OFFSET(W6,5,0),0),IF(IFERROR(MATCH(X6,RankList_DP1,0)&gt;0,FALSE),OFFSET(X6,5,0),0),IF(IFERROR(MATCH(Y6,RankList_DP1,0)&gt;0,FALSE),OFFSET(Y6,5,0),0),IF(IFERROR(MATCH(Z6,RankList_DP1,0)&gt;0,FALSE),OFFSET(Z6,5,0),0),IF(IFERROR(MATCH(AA6,RankList_DP1,0)&gt;0,FALSE),OFFSET(AA6,5,0),0)),0)</f>
        <v>0</v>
      </c>
      <c r="C33" s="69">
        <f t="shared" ca="1" si="24"/>
        <v>0</v>
      </c>
      <c r="D33" s="68">
        <f ca="1">IF(DevMode!F17=TRUE,SUM(IF(IFERROR(MATCH(B6,RankList_DP2,0)&gt;0,FALSE),OFFSET(B6,5,0),0),IF(IFERROR(MATCH(C6,RankList_DP2,0)&gt;0,FALSE),OFFSET(C6,5,0),0),IF(IFERROR(MATCH(D6,RankList_DP2,0)&gt;0,FALSE),OFFSET(D6,5,0),0),IF(IFERROR(MATCH(E6,RankList_DP2,0)&gt;0,FALSE),OFFSET(E6,5,0),0),IF(IFERROR(MATCH(F6,RankList_DP2,0)&gt;0,FALSE),OFFSET(F6,5,0),0),IF(IFERROR(MATCH(G6,RankList_DP2,0)&gt;0,FALSE),OFFSET(G6,5,0),0),IF(IFERROR(MATCH(H6,RankList_DP2,0)&gt;0,FALSE),OFFSET(H6,5,0),0),IF(IFERROR(MATCH(I6,RankList_DP2,0)&gt;0,FALSE),OFFSET(I6,5,0),0),IF(IFERROR(MATCH(J6,RankList_DP2,0)&gt;0,FALSE),OFFSET(J6,5,0),0),IF(IFERROR(MATCH(J6,RankList_DP2,0)&gt;0,FALSE),OFFSET(K6,5,0),0),IF(IFERROR(MATCH(L6,RankList_DP2,0)&gt;0,FALSE),OFFSET(L6,5,0),0),IF(IFERROR(MATCH(M6,RankList_DP2,0)&gt;0,FALSE),OFFSET(M6,5,0),0),IF(IFERROR(MATCH(N6,RankList_DP2,0)&gt;0,FALSE),OFFSET(N6,5,0),0),IF(IFERROR(MATCH(O6,RankList_DP2,0)&gt;0,FALSE),OFFSET(O6,5,0),0),IF(IFERROR(MATCH(P6,RankList_DP2,0)&gt;0,FALSE),OFFSET(P6,5,0),0),IF(IFERROR(MATCH(Q6,RankList_DP2,0)&gt;0,FALSE),OFFSET(Q6,5,0),0),IF(IFERROR(MATCH(R6,RankList_DP2,0)&gt;0,FALSE),OFFSET(R6,5,0),0),IF(IFERROR(MATCH(S6,RankList_DP2,0)&gt;0,FALSE),OFFSET(S6,5,0),0),IF(IFERROR(MATCH(T6,RankList_DP2,0)&gt;0,FALSE),OFFSET(T6,5,0),0),IF(IFERROR(MATCH(U6,RankList_DP2,0)&gt;0,FALSE),OFFSET(U6,5,0),0),IF(IFERROR(MATCH(V6,RankList_DP2,0)&gt;0,FALSE),OFFSET(V6,5,0),0),IF(IFERROR(MATCH(W6,RankList_DP2,0)&gt;0,FALSE),OFFSET(W6,5,0),0),IF(IFERROR(MATCH(X6,RankList_DP2,0)&gt;0,FALSE),OFFSET(X6,5,0),0),IF(IFERROR(MATCH(Y6,RankList_DP2,0)&gt;0,FALSE),OFFSET(Y6,5,0),0),IF(IFERROR(MATCH(Z6,RankList_DP2,0)&gt;0,FALSE),OFFSET(Z6,5,0),0),IF(IFERROR(MATCH(AA6,RankList_DP2,0)&gt;0,FALSE),OFFSET(AA6,5,0),0)),0)</f>
        <v>0</v>
      </c>
      <c r="E33" s="69">
        <f t="shared" ca="1" si="25"/>
        <v>0</v>
      </c>
      <c r="F33" s="68">
        <f ca="1">IF(DevMode!F18=TRUE,SUM(IF(IFERROR(MATCH(B6,RankList_DP3,0)&gt;0,FALSE),OFFSET(B6,5,0),0),IF(IFERROR(MATCH(C6,RankList_DP3,0)&gt;0,FALSE),OFFSET(C6,5,0),0),IF(IFERROR(MATCH(D6,RankList_DP3,0)&gt;0,FALSE),OFFSET(D6,5,0),0),IF(IFERROR(MATCH(E6,RankList_DP3,0)&gt;0,FALSE),OFFSET(E6,5,0),0),IF(IFERROR(MATCH(F6,RankList_DP3,0)&gt;0,FALSE),OFFSET(F6,5,0),0),IF(IFERROR(MATCH(G6,RankList_DP3,0)&gt;0,FALSE),OFFSET(G6,5,0),0),IF(IFERROR(MATCH(H6,RankList_DP3,0)&gt;0,FALSE),OFFSET(H6,5,0),0),IF(IFERROR(MATCH(I6,RankList_DP3,0)&gt;0,FALSE),OFFSET(I6,5,0),0),IF(IFERROR(MATCH(J6,RankList_DP3,0)&gt;0,FALSE),OFFSET(J6,5,0),0),IF(IFERROR(MATCH(J6,RankList_DP3,0)&gt;0,FALSE),OFFSET(K6,5,0),0),IF(IFERROR(MATCH(L6,RankList_DP3,0)&gt;0,FALSE),OFFSET(L6,5,0),0),IF(IFERROR(MATCH(M6,RankList_DP3,0)&gt;0,FALSE),OFFSET(M6,5,0),0),IF(IFERROR(MATCH(N6,RankList_DP3,0)&gt;0,FALSE),OFFSET(N6,5,0),0),IF(IFERROR(MATCH(O6,RankList_DP3,0)&gt;0,FALSE),OFFSET(O6,5,0),0),IF(IFERROR(MATCH(P6,RankList_DP3,0)&gt;0,FALSE),OFFSET(P6,5,0),0),IF(IFERROR(MATCH(Q6,RankList_DP3,0)&gt;0,FALSE),OFFSET(Q6,5,0),0),IF(IFERROR(MATCH(R6,RankList_DP3,0)&gt;0,FALSE),OFFSET(R6,5,0),0),IF(IFERROR(MATCH(S6,RankList_DP3,0)&gt;0,FALSE),OFFSET(S6,5,0),0),IF(IFERROR(MATCH(T6,RankList_DP3,0)&gt;0,FALSE),OFFSET(T6,5,0),0),IF(IFERROR(MATCH(U6,RankList_DP3,0)&gt;0,FALSE),OFFSET(U6,5,0),0),IF(IFERROR(MATCH(V6,RankList_DP3,0)&gt;0,FALSE),OFFSET(V6,5,0),0),IF(IFERROR(MATCH(W6,RankList_DP3,0)&gt;0,FALSE),OFFSET(W6,5,0),0),IF(IFERROR(MATCH(X6,RankList_DP3,0)&gt;0,FALSE),OFFSET(X6,5,0),0),IF(IFERROR(MATCH(Y6,RankList_DP3,0)&gt;0,FALSE),OFFSET(Y6,5,0),0),IF(IFERROR(MATCH(Z6,RankList_DP3,0)&gt;0,FALSE),OFFSET(Z6,5,0),0),IF(IFERROR(MATCH(AA6,RankList_DP3,0)&gt;0,FALSE),OFFSET(AA6,5,0),0)),0)</f>
        <v>0</v>
      </c>
      <c r="G33" s="69">
        <f t="shared" ca="1" si="26"/>
        <v>0</v>
      </c>
      <c r="H33" s="68">
        <f ca="1">IF(DevMode!F19=TRUE,SUM(IF(IFERROR(MATCH(B6,RankList_DP4,0)&gt;0,FALSE),OFFSET(B6,5,0),0),IF(IFERROR(MATCH(C6,RankList_DP4,0)&gt;0,FALSE),OFFSET(C6,5,0),0),IF(IFERROR(MATCH(D6,RankList_DP4,0)&gt;0,FALSE),OFFSET(D6,5,0),0),IF(IFERROR(MATCH(E6,RankList_DP4,0)&gt;0,FALSE),OFFSET(E6,5,0),0),IF(IFERROR(MATCH(F6,RankList_DP4,0)&gt;0,FALSE),OFFSET(F6,5,0),0),IF(IFERROR(MATCH(G6,RankList_DP4,0)&gt;0,FALSE),OFFSET(G6,5,0),0),IF(IFERROR(MATCH(H6,RankList_DP4,0)&gt;0,FALSE),OFFSET(H6,5,0),0),IF(IFERROR(MATCH(I6,RankList_DP4,0)&gt;0,FALSE),OFFSET(I6,5,0),0),IF(IFERROR(MATCH(J6,RankList_DP4,0)&gt;0,FALSE),OFFSET(J6,5,0),0),IF(IFERROR(MATCH(J6,RankList_DP4,0)&gt;0,FALSE),OFFSET(K6,5,0),0),IF(IFERROR(MATCH(L6,RankList_DP4,0)&gt;0,FALSE),OFFSET(L6,5,0),0),IF(IFERROR(MATCH(M6,RankList_DP4,0)&gt;0,FALSE),OFFSET(M6,5,0),0),IF(IFERROR(MATCH(N6,RankList_DP4,0)&gt;0,FALSE),OFFSET(N6,5,0),0),IF(IFERROR(MATCH(O6,RankList_DP4,0)&gt;0,FALSE),OFFSET(O6,5,0),0),IF(IFERROR(MATCH(P6,RankList_DP4,0)&gt;0,FALSE),OFFSET(P6,5,0),0),IF(IFERROR(MATCH(Q6,RankList_DP4,0)&gt;0,FALSE),OFFSET(Q6,5,0),0),IF(IFERROR(MATCH(R6,RankList_DP4,0)&gt;0,FALSE),OFFSET(R6,5,0),0),IF(IFERROR(MATCH(S6,RankList_DP4,0)&gt;0,FALSE),OFFSET(S6,5,0),0),IF(IFERROR(MATCH(T6,RankList_DP4,0)&gt;0,FALSE),OFFSET(T6,5,0),0),IF(IFERROR(MATCH(U6,RankList_DP4,0)&gt;0,FALSE),OFFSET(U6,5,0),0),IF(IFERROR(MATCH(V6,RankList_DP4,0)&gt;0,FALSE),OFFSET(V6,5,0),0),IF(IFERROR(MATCH(W6,RankList_DP4,0)&gt;0,FALSE),OFFSET(W6,5,0),0),IF(IFERROR(MATCH(X6,RankList_DP4,0)&gt;0,FALSE),OFFSET(X6,5,0),0),IF(IFERROR(MATCH(Y6,RankList_DP4,0)&gt;0,FALSE),OFFSET(Y6,5,0),0),IF(IFERROR(MATCH(Z6,RankList_DP4,0)&gt;0,FALSE),OFFSET(Z6,5,0),0),IF(IFERROR(MATCH(AA6,RankList_DP4,0)&gt;0,FALSE),OFFSET(AA6,5,0),0)),0)</f>
        <v>0</v>
      </c>
      <c r="I33" s="69">
        <f t="shared" ca="1" si="27"/>
        <v>0</v>
      </c>
      <c r="J33" s="68">
        <f ca="1">IF(DevMode!F20=TRUE,SUM(IF(IFERROR(MATCH(B6,RankList_DP5,0)&gt;0,FALSE),OFFSET(B6,5,0),0),IF(IFERROR(MATCH(C6,RankList_DP5,0)&gt;0,FALSE),OFFSET(C6,5,0),0),IF(IFERROR(MATCH(D6,RankList_DP5,0)&gt;0,FALSE),OFFSET(D6,5,0),0),IF(IFERROR(MATCH(E6,RankList_DP5,0)&gt;0,FALSE),OFFSET(E6,5,0),0),IF(IFERROR(MATCH(F6,RankList_DP5,0)&gt;0,FALSE),OFFSET(F6,5,0),0),IF(IFERROR(MATCH(G6,RankList_DP5,0)&gt;0,FALSE),OFFSET(G6,5,0),0),IF(IFERROR(MATCH(H6,RankList_DP5,0)&gt;0,FALSE),OFFSET(H6,5,0),0),IF(IFERROR(MATCH(I6,RankList_DP5,0)&gt;0,FALSE),OFFSET(I6,5,0),0),IF(IFERROR(MATCH(J6,RankList_DP5,0)&gt;0,FALSE),OFFSET(J6,5,0),0),IF(IFERROR(MATCH(J6,RankList_DP5,0)&gt;0,FALSE),OFFSET(K6,5,0),0),IF(IFERROR(MATCH(L6,RankList_DP5,0)&gt;0,FALSE),OFFSET(L6,5,0),0),IF(IFERROR(MATCH(M6,RankList_DP5,0)&gt;0,FALSE),OFFSET(M6,5,0),0),IF(IFERROR(MATCH(N6,RankList_DP5,0)&gt;0,FALSE),OFFSET(N6,5,0),0),IF(IFERROR(MATCH(O6,RankList_DP5,0)&gt;0,FALSE),OFFSET(O6,5,0),0),IF(IFERROR(MATCH(P6,RankList_DP5,0)&gt;0,FALSE),OFFSET(P6,5,0),0),IF(IFERROR(MATCH(Q6,RankList_DP5,0)&gt;0,FALSE),OFFSET(Q6,5,0),0),IF(IFERROR(MATCH(R6,RankList_DP5,0)&gt;0,FALSE),OFFSET(R6,5,0),0),IF(IFERROR(MATCH(S6,RankList_DP5,0)&gt;0,FALSE),OFFSET(S6,5,0),0),IF(IFERROR(MATCH(T6,RankList_DP5,0)&gt;0,FALSE),OFFSET(T6,5,0),0),IF(IFERROR(MATCH(U6,RankList_DP5,0)&gt;0,FALSE),OFFSET(U6,5,0),0),IF(IFERROR(MATCH(V6,RankList_DP5,0)&gt;0,FALSE),OFFSET(V6,5,0),0),IF(IFERROR(MATCH(W6,RankList_DP5,0)&gt;0,FALSE),OFFSET(W6,5,0),0),IF(IFERROR(MATCH(X6,RankList_DP5,0)&gt;0,FALSE),OFFSET(X6,5,0),0),IF(IFERROR(MATCH(Y6,RankList_DP5,0)&gt;0,FALSE),OFFSET(Y6,5,0),0),IF(IFERROR(MATCH(Z6,RankList_DP5,0)&gt;0,FALSE),OFFSET(Z6,5,0),0),IF(IFERROR(MATCH(AA6,RankList_DP5,0)&gt;0,FALSE),OFFSET(AA6,5,0),0)),0)</f>
        <v>0</v>
      </c>
      <c r="K33" s="69">
        <f t="shared" ca="1" si="28"/>
        <v>0</v>
      </c>
      <c r="L33" s="68">
        <f ca="1">IF(DevMode!F21=TRUE,SUM(IF(IFERROR(MATCH(B6,RankList_DP6,0)&gt;0,FALSE),OFFSET(B6,5,0),0),IF(IFERROR(MATCH(C6,RankList_DP6,0)&gt;0,FALSE),OFFSET(C6,5,0),0),IF(IFERROR(MATCH(D6,RankList_DP6,0)&gt;0,FALSE),OFFSET(D6,5,0),0),IF(IFERROR(MATCH(E6,RankList_DP6,0)&gt;0,FALSE),OFFSET(E6,5,0),0),IF(IFERROR(MATCH(F6,RankList_DP6,0)&gt;0,FALSE),OFFSET(F6,5,0),0),IF(IFERROR(MATCH(G6,RankList_DP6,0)&gt;0,FALSE),OFFSET(G6,5,0),0),IF(IFERROR(MATCH(H6,RankList_DP6,0)&gt;0,FALSE),OFFSET(H6,5,0),0),IF(IFERROR(MATCH(I6,RankList_DP6,0)&gt;0,FALSE),OFFSET(I6,5,0),0),IF(IFERROR(MATCH(J6,RankList_DP6,0)&gt;0,FALSE),OFFSET(J6,5,0),0),IF(IFERROR(MATCH(J6,RankList_DP6,0)&gt;0,FALSE),OFFSET(K6,5,0),0),IF(IFERROR(MATCH(L6,RankList_DP6,0)&gt;0,FALSE),OFFSET(L6,5,0),0),IF(IFERROR(MATCH(M6,RankList_DP6,0)&gt;0,FALSE),OFFSET(M6,5,0),0),IF(IFERROR(MATCH(N6,RankList_DP6,0)&gt;0,FALSE),OFFSET(N6,5,0),0),IF(IFERROR(MATCH(O6,RankList_DP6,0)&gt;0,FALSE),OFFSET(O6,5,0),0),IF(IFERROR(MATCH(P6,RankList_DP6,0)&gt;0,FALSE),OFFSET(P6,5,0),0),IF(IFERROR(MATCH(Q6,RankList_DP6,0)&gt;0,FALSE),OFFSET(Q6,5,0),0),IF(IFERROR(MATCH(R6,RankList_DP6,0)&gt;0,FALSE),OFFSET(R6,5,0),0),IF(IFERROR(MATCH(S6,RankList_DP6,0)&gt;0,FALSE),OFFSET(S6,5,0),0),IF(IFERROR(MATCH(T6,RankList_DP6,0)&gt;0,FALSE),OFFSET(T6,5,0),0),IF(IFERROR(MATCH(U6,RankList_DP6,0)&gt;0,FALSE),OFFSET(U6,5,0),0),IF(IFERROR(MATCH(V6,RankList_DP6,0)&gt;0,FALSE),OFFSET(V6,5,0),0),IF(IFERROR(MATCH(W6,RankList_DP6,0)&gt;0,FALSE),OFFSET(W6,5,0),0),IF(IFERROR(MATCH(X6,RankList_DP6,0)&gt;0,FALSE),OFFSET(X6,5,0),0),IF(IFERROR(MATCH(Y6,RankList_DP6,0)&gt;0,FALSE),OFFSET(Y6,5,0),0),IF(IFERROR(MATCH(Z6,RankList_DP6,0)&gt;0,FALSE),OFFSET(Z6,5,0),0),IF(IFERROR(MATCH(AA6,RankList_DP6,0)&gt;0,FALSE),OFFSET(AA6,5,0),0)),0)</f>
        <v>0</v>
      </c>
      <c r="M33" s="69">
        <f t="shared" ca="1" si="29"/>
        <v>0</v>
      </c>
      <c r="N33" s="68">
        <f ca="1">IF(DevMode!F22=TRUE,SUM(IF(IFERROR(MATCH(B6,RankList_DP7,0)&gt;0,FALSE),OFFSET(B6,5,0),0),IF(IFERROR(MATCH(C6,RankList_DP7,0)&gt;0,FALSE),OFFSET(C6,5,0),0),IF(IFERROR(MATCH(D6,RankList_DP7,0)&gt;0,FALSE),OFFSET(D6,5,0),0),IF(IFERROR(MATCH(E6,RankList_DP7,0)&gt;0,FALSE),OFFSET(E6,5,0),0),IF(IFERROR(MATCH(F6,RankList_DP7,0)&gt;0,FALSE),OFFSET(F6,5,0),0),IF(IFERROR(MATCH(G6,RankList_DP7,0)&gt;0,FALSE),OFFSET(G6,5,0),0),IF(IFERROR(MATCH(H6,RankList_DP7,0)&gt;0,FALSE),OFFSET(H6,5,0),0),IF(IFERROR(MATCH(I6,RankList_DP7,0)&gt;0,FALSE),OFFSET(I6,5,0),0),IF(IFERROR(MATCH(J6,RankList_DP7,0)&gt;0,FALSE),OFFSET(J6,5,0),0),IF(IFERROR(MATCH(J6,RankList_DP7,0)&gt;0,FALSE),OFFSET(K6,5,0),0),IF(IFERROR(MATCH(L6,RankList_DP7,0)&gt;0,FALSE),OFFSET(L6,5,0),0),IF(IFERROR(MATCH(M6,RankList_DP7,0)&gt;0,FALSE),OFFSET(M6,5,0),0),IF(IFERROR(MATCH(N6,RankList_DP7,0)&gt;0,FALSE),OFFSET(N6,5,0),0),IF(IFERROR(MATCH(O6,RankList_DP7,0)&gt;0,FALSE),OFFSET(O6,5,0),0),IF(IFERROR(MATCH(P6,RankList_DP7,0)&gt;0,FALSE),OFFSET(P6,5,0),0),IF(IFERROR(MATCH(Q6,RankList_DP7,0)&gt;0,FALSE),OFFSET(Q6,5,0),0),IF(IFERROR(MATCH(R6,RankList_DP7,0)&gt;0,FALSE),OFFSET(R6,5,0),0),IF(IFERROR(MATCH(S6,RankList_DP7,0)&gt;0,FALSE),OFFSET(S6,5,0),0),IF(IFERROR(MATCH(T6,RankList_DP7,0)&gt;0,FALSE),OFFSET(T6,5,0),0),IF(IFERROR(MATCH(U6,RankList_DP7,0)&gt;0,FALSE),OFFSET(U6,5,0),0),IF(IFERROR(MATCH(V6,RankList_DP7,0)&gt;0,FALSE),OFFSET(V6,5,0),0),IF(IFERROR(MATCH(W6,RankList_DP7,0)&gt;0,FALSE),OFFSET(W6,5,0),0),IF(IFERROR(MATCH(X6,RankList_DP7,0)&gt;0,FALSE),OFFSET(X6,5,0),0),IF(IFERROR(MATCH(Y6,RankList_DP7,0)&gt;0,FALSE),OFFSET(Y6,5,0),0),IF(IFERROR(MATCH(Z6,RankList_DP7,0)&gt;0,FALSE),OFFSET(Z6,5,0),0),IF(IFERROR(MATCH(AA6,RankList_DP7,0)&gt;0,FALSE),OFFSET(AA6,5,0),0)),0)</f>
        <v>0</v>
      </c>
      <c r="O33" s="69">
        <f t="shared" ca="1" si="30"/>
        <v>0</v>
      </c>
      <c r="P33" s="68">
        <f ca="1">IF(DevMode!F23=TRUE,SUM(IF(IFERROR(MATCH(B6,RankList_DP8,0)&gt;0,FALSE),OFFSET(B6,5,0),0),IF(IFERROR(MATCH(C6,RankList_DP8,0)&gt;0,FALSE),OFFSET(C6,5,0),0),IF(IFERROR(MATCH(D6,RankList_DP8,0)&gt;0,FALSE),OFFSET(D6,5,0),0),IF(IFERROR(MATCH(E6,RankList_DP8,0)&gt;0,FALSE),OFFSET(E6,5,0),0),IF(IFERROR(MATCH(F6,RankList_DP8,0)&gt;0,FALSE),OFFSET(F6,5,0),0),IF(IFERROR(MATCH(G6,RankList_DP8,0)&gt;0,FALSE),OFFSET(G6,5,0),0),IF(IFERROR(MATCH(H6,RankList_DP8,0)&gt;0,FALSE),OFFSET(H6,5,0),0),IF(IFERROR(MATCH(I6,RankList_DP8,0)&gt;0,FALSE),OFFSET(I6,5,0),0),IF(IFERROR(MATCH(J6,RankList_DP8,0)&gt;0,FALSE),OFFSET(J6,5,0),0),IF(IFERROR(MATCH(J6,RankList_DP8,0)&gt;0,FALSE),OFFSET(K6,5,0),0),IF(IFERROR(MATCH(L6,RankList_DP8,0)&gt;0,FALSE),OFFSET(L6,5,0),0),IF(IFERROR(MATCH(M6,RankList_DP8,0)&gt;0,FALSE),OFFSET(M6,5,0),0),IF(IFERROR(MATCH(N6,RankList_DP8,0)&gt;0,FALSE),OFFSET(N6,5,0),0),IF(IFERROR(MATCH(O6,RankList_DP8,0)&gt;0,FALSE),OFFSET(O6,5,0),0),IF(IFERROR(MATCH(P6,RankList_DP8,0)&gt;0,FALSE),OFFSET(P6,5,0),0),IF(IFERROR(MATCH(Q6,RankList_DP8,0)&gt;0,FALSE),OFFSET(Q6,5,0),0),IF(IFERROR(MATCH(R6,RankList_DP8,0)&gt;0,FALSE),OFFSET(R6,5,0),0),IF(IFERROR(MATCH(S6,RankList_DP8,0)&gt;0,FALSE),OFFSET(S6,5,0),0),IF(IFERROR(MATCH(T6,RankList_DP8,0)&gt;0,FALSE),OFFSET(T6,5,0),0),IF(IFERROR(MATCH(U6,RankList_DP8,0)&gt;0,FALSE),OFFSET(U6,5,0),0),IF(IFERROR(MATCH(V6,RankList_DP8,0)&gt;0,FALSE),OFFSET(V6,5,0),0),IF(IFERROR(MATCH(W6,RankList_DP8,0)&gt;0,FALSE),OFFSET(W6,5,0),0),IF(IFERROR(MATCH(X6,RankList_DP8,0)&gt;0,FALSE),OFFSET(X6,5,0),0),IF(IFERROR(MATCH(Y6,RankList_DP8,0)&gt;0,FALSE),OFFSET(Y6,5,0),0),IF(IFERROR(MATCH(Z6,RankList_DP8,0)&gt;0,FALSE),OFFSET(Z6,5,0),0),IF(IFERROR(MATCH(AA6,RankList_DP8,0)&gt;0,FALSE),OFFSET(AA6,5,0),0)),0)</f>
        <v>0</v>
      </c>
      <c r="Q33" s="69">
        <f t="shared" ca="1" si="31"/>
        <v>0</v>
      </c>
      <c r="R33" s="68">
        <f ca="1">IF(DevMode!F24=TRUE,SUM(IF(IFERROR(MATCH(B6,RankList_DP9,0)&gt;0,FALSE),OFFSET(B6,5,0),0),IF(IFERROR(MATCH(C6,RankList_DP9,0)&gt;0,FALSE),OFFSET(C6,5,0),0),IF(IFERROR(MATCH(D6,RankList_DP9,0)&gt;0,FALSE),OFFSET(D6,5,0),0),IF(IFERROR(MATCH(E6,RankList_DP9,0)&gt;0,FALSE),OFFSET(E6,5,0),0),IF(IFERROR(MATCH(F6,RankList_DP9,0)&gt;0,FALSE),OFFSET(F6,5,0),0),IF(IFERROR(MATCH(G6,RankList_DP9,0)&gt;0,FALSE),OFFSET(G6,5,0),0),IF(IFERROR(MATCH(H6,RankList_DP9,0)&gt;0,FALSE),OFFSET(H6,5,0),0),IF(IFERROR(MATCH(I6,RankList_DP9,0)&gt;0,FALSE),OFFSET(I6,5,0),0),IF(IFERROR(MATCH(J6,RankList_DP9,0)&gt;0,FALSE),OFFSET(J6,5,0),0),IF(IFERROR(MATCH(J6,RankList_DP9,0)&gt;0,FALSE),OFFSET(K6,5,0),0),IF(IFERROR(MATCH(L6,RankList_DP9,0)&gt;0,FALSE),OFFSET(L6,5,0),0),IF(IFERROR(MATCH(M6,RankList_DP9,0)&gt;0,FALSE),OFFSET(M6,5,0),0),IF(IFERROR(MATCH(N6,RankList_DP9,0)&gt;0,FALSE),OFFSET(N6,5,0),0),IF(IFERROR(MATCH(O6,RankList_DP9,0)&gt;0,FALSE),OFFSET(O6,5,0),0),IF(IFERROR(MATCH(P6,RankList_DP9,0)&gt;0,FALSE),OFFSET(P6,5,0),0),IF(IFERROR(MATCH(Q6,RankList_DP9,0)&gt;0,FALSE),OFFSET(Q6,5,0),0),IF(IFERROR(MATCH(R6,RankList_DP9,0)&gt;0,FALSE),OFFSET(R6,5,0),0),IF(IFERROR(MATCH(S6,RankList_DP9,0)&gt;0,FALSE),OFFSET(S6,5,0),0),IF(IFERROR(MATCH(T6,RankList_DP9,0)&gt;0,FALSE),OFFSET(T6,5,0),0),IF(IFERROR(MATCH(U6,RankList_DP9,0)&gt;0,FALSE),OFFSET(U6,5,0),0),IF(IFERROR(MATCH(V6,RankList_DP9,0)&gt;0,FALSE),OFFSET(V6,5,0),0),IF(IFERROR(MATCH(W6,RankList_DP9,0)&gt;0,FALSE),OFFSET(W6,5,0),0),IF(IFERROR(MATCH(X6,RankList_DP9,0)&gt;0,FALSE),OFFSET(X6,5,0),0),IF(IFERROR(MATCH(Y6,RankList_DP9,0)&gt;0,FALSE),OFFSET(Y6,5,0),0),IF(IFERROR(MATCH(Z6,RankList_DP9,0)&gt;0,FALSE),OFFSET(Z6,5,0),0),IF(IFERROR(MATCH(AA6,RankList_DP9,0)&gt;0,FALSE),OFFSET(AA6,5,0),0)),0)</f>
        <v>0</v>
      </c>
      <c r="S33" s="69">
        <f t="shared" ca="1" si="32"/>
        <v>0</v>
      </c>
      <c r="T33" s="159"/>
      <c r="U33" s="157"/>
      <c r="V33" s="158"/>
      <c r="W33" s="157"/>
      <c r="X33" s="157"/>
      <c r="Y33" s="155"/>
      <c r="Z33" s="155"/>
      <c r="AA33" s="154"/>
      <c r="AB33" s="155"/>
      <c r="AC33" s="154"/>
      <c r="AD33" s="154"/>
      <c r="AE33" s="194"/>
      <c r="AF33" s="154"/>
      <c r="AG33" s="154"/>
      <c r="AH33" s="154"/>
      <c r="AI33" s="154"/>
      <c r="AJ33" s="154"/>
      <c r="AK33" s="154"/>
    </row>
    <row r="34" spans="1:37" s="156" customFormat="1" ht="15.75" hidden="1" thickBot="1" x14ac:dyDescent="0.3">
      <c r="A34" s="13" t="str">
        <f>IF(DevMode!A7="","Unused",DevMode!A7)</f>
        <v>HQ</v>
      </c>
      <c r="B34" s="70">
        <f ca="1">IF(DevMode!G16=TRUE,SUM(IF(IFERROR(MATCH(B6,RankList_DP1,0)&gt;0,FALSE),OFFSET(B6,6,0),0),IF(IFERROR(MATCH(C6,RankList_DP1,0)&gt;0,FALSE),OFFSET(C6,6,0),0),IF(IFERROR(MATCH(D6,RankList_DP1,0)&gt;0,FALSE),OFFSET(D6,6,0),0),IF(IFERROR(MATCH(E6,RankList_DP1,0)&gt;0,FALSE),OFFSET(E6,6,0),0),IF(IFERROR(MATCH(F6,RankList_DP1,0)&gt;0,FALSE),OFFSET(F6,6,0),0),IF(IFERROR(MATCH(G6,RankList_DP1,0)&gt;0,FALSE),OFFSET(G6,6,0),0),IF(IFERROR(MATCH(H6,RankList_DP1,0)&gt;0,FALSE),OFFSET(H6,6,0),0),IF(IFERROR(MATCH(I6,RankList_DP1,0)&gt;0,FALSE),OFFSET(I6,6,0),0),IF(IFERROR(MATCH(J6,RankList_DP1,0)&gt;0,FALSE),OFFSET(J6,6,0),0),IF(IFERROR(MATCH(J6,RankList_DP1,0)&gt;0,FALSE),OFFSET(K6,6,0),0),IF(IFERROR(MATCH(L6,RankList_DP1,0)&gt;0,FALSE),OFFSET(L6,6,0),0),IF(IFERROR(MATCH(M6,RankList_DP1,0)&gt;0,FALSE),OFFSET(M6,6,0),0),IF(IFERROR(MATCH(N6,RankList_DP1,0)&gt;0,FALSE),OFFSET(N6,6,0),0),IF(IFERROR(MATCH(O6,RankList_DP1,0)&gt;0,FALSE),OFFSET(O6,6,0),0),IF(IFERROR(MATCH(P6,RankList_DP1,0)&gt;0,FALSE),OFFSET(P6,6,0),0),IF(IFERROR(MATCH(Q6,RankList_DP1,0)&gt;0,FALSE),OFFSET(Q6,6,0),0),IF(IFERROR(MATCH(R6,RankList_DP1,0)&gt;0,FALSE),OFFSET(R6,6,0),0),IF(IFERROR(MATCH(S6,RankList_DP1,0)&gt;0,FALSE),OFFSET(S6,6,0),0),IF(IFERROR(MATCH(T6,RankList_DP1,0)&gt;0,FALSE),OFFSET(T6,6,0),0),IF(IFERROR(MATCH(U6,RankList_DP1,0)&gt;0,FALSE),OFFSET(U6,6,0),0),IF(IFERROR(MATCH(V6,RankList_DP1,0)&gt;0,FALSE),OFFSET(V6,6,0),0),IF(IFERROR(MATCH(W6,RankList_DP1,0)&gt;0,FALSE),OFFSET(W6,6,0),0),IF(IFERROR(MATCH(X6,RankList_DP1,0)&gt;0,FALSE),OFFSET(X6,6,0),0),IF(IFERROR(MATCH(Y6,RankList_DP1,0)&gt;0,FALSE),OFFSET(Y6,6,0),0),IF(IFERROR(MATCH(Z6,RankList_DP1,0)&gt;0,FALSE),OFFSET(Z6,6,0),0),IF(IFERROR(MATCH(AA6,RankList_DP1,0)&gt;0,FALSE),OFFSET(AA6,6,0),0)),0)</f>
        <v>0</v>
      </c>
      <c r="C34" s="71">
        <f t="shared" ca="1" si="24"/>
        <v>0</v>
      </c>
      <c r="D34" s="70">
        <f ca="1">IF(DevMode!G17=TRUE,SUM(IF(IFERROR(MATCH(B6,RankList_DP2,0)&gt;0,FALSE),OFFSET(B6,6,0),0),IF(IFERROR(MATCH(C6,RankList_DP2,0)&gt;0,FALSE),OFFSET(C6,6,0),0),IF(IFERROR(MATCH(D6,RankList_DP2,0)&gt;0,FALSE),OFFSET(D6,6,0),0),IF(IFERROR(MATCH(E6,RankList_DP2,0)&gt;0,FALSE),OFFSET(E6,6,0),0),IF(IFERROR(MATCH(F6,RankList_DP2,0)&gt;0,FALSE),OFFSET(F6,6,0),0),IF(IFERROR(MATCH(G6,RankList_DP2,0)&gt;0,FALSE),OFFSET(G6,6,0),0),IF(IFERROR(MATCH(H6,RankList_DP2,0)&gt;0,FALSE),OFFSET(H6,6,0),0),IF(IFERROR(MATCH(I6,RankList_DP2,0)&gt;0,FALSE),OFFSET(I6,6,0),0),IF(IFERROR(MATCH(J6,RankList_DP2,0)&gt;0,FALSE),OFFSET(J6,6,0),0),IF(IFERROR(MATCH(J6,RankList_DP2,0)&gt;0,FALSE),OFFSET(K6,6,0),0),IF(IFERROR(MATCH(L6,RankList_DP2,0)&gt;0,FALSE),OFFSET(L6,6,0),0),IF(IFERROR(MATCH(M6,RankList_DP2,0)&gt;0,FALSE),OFFSET(M6,6,0),0),IF(IFERROR(MATCH(N6,RankList_DP2,0)&gt;0,FALSE),OFFSET(N6,6,0),0),IF(IFERROR(MATCH(O6,RankList_DP2,0)&gt;0,FALSE),OFFSET(O6,6,0),0),IF(IFERROR(MATCH(P6,RankList_DP2,0)&gt;0,FALSE),OFFSET(P6,6,0),0),IF(IFERROR(MATCH(Q6,RankList_DP2,0)&gt;0,FALSE),OFFSET(Q6,6,0),0),IF(IFERROR(MATCH(R6,RankList_DP2,0)&gt;0,FALSE),OFFSET(R6,6,0),0),IF(IFERROR(MATCH(S6,RankList_DP2,0)&gt;0,FALSE),OFFSET(S6,6,0),0),IF(IFERROR(MATCH(T6,RankList_DP2,0)&gt;0,FALSE),OFFSET(T6,6,0),0),IF(IFERROR(MATCH(U6,RankList_DP2,0)&gt;0,FALSE),OFFSET(U6,6,0),0),IF(IFERROR(MATCH(V6,RankList_DP2,0)&gt;0,FALSE),OFFSET(V6,6,0),0),IF(IFERROR(MATCH(W6,RankList_DP2,0)&gt;0,FALSE),OFFSET(W6,6,0),0),IF(IFERROR(MATCH(X6,RankList_DP2,0)&gt;0,FALSE),OFFSET(X6,6,0),0),IF(IFERROR(MATCH(Y6,RankList_DP2,0)&gt;0,FALSE),OFFSET(Y6,6,0),0),IF(IFERROR(MATCH(Z6,RankList_DP2,0)&gt;0,FALSE),OFFSET(Z6,6,0),0),IF(IFERROR(MATCH(AA6,RankList_DP2,0)&gt;0,FALSE),OFFSET(AA6,6,0),0)),0)</f>
        <v>0</v>
      </c>
      <c r="E34" s="71">
        <f t="shared" ca="1" si="25"/>
        <v>0</v>
      </c>
      <c r="F34" s="70">
        <f ca="1">IF(DevMode!G18=TRUE,SUM(IF(IFERROR(MATCH(B6,RankList_DP3,0)&gt;0,FALSE),OFFSET(B6,6,0),0),IF(IFERROR(MATCH(C6,RankList_DP3,0)&gt;0,FALSE),OFFSET(C6,6,0),0),IF(IFERROR(MATCH(D6,RankList_DP3,0)&gt;0,FALSE),OFFSET(D6,6,0),0),IF(IFERROR(MATCH(E6,RankList_DP3,0)&gt;0,FALSE),OFFSET(E6,6,0),0),IF(IFERROR(MATCH(F6,RankList_DP3,0)&gt;0,FALSE),OFFSET(F6,6,0),0),IF(IFERROR(MATCH(G6,RankList_DP3,0)&gt;0,FALSE),OFFSET(G6,6,0),0),IF(IFERROR(MATCH(H6,RankList_DP3,0)&gt;0,FALSE),OFFSET(H6,6,0),0),IF(IFERROR(MATCH(I6,RankList_DP3,0)&gt;0,FALSE),OFFSET(I6,6,0),0),IF(IFERROR(MATCH(J6,RankList_DP3,0)&gt;0,FALSE),OFFSET(J6,6,0),0),IF(IFERROR(MATCH(J6,RankList_DP3,0)&gt;0,FALSE),OFFSET(K6,6,0),0),IF(IFERROR(MATCH(L6,RankList_DP3,0)&gt;0,FALSE),OFFSET(L6,6,0),0),IF(IFERROR(MATCH(M6,RankList_DP3,0)&gt;0,FALSE),OFFSET(M6,6,0),0),IF(IFERROR(MATCH(N6,RankList_DP3,0)&gt;0,FALSE),OFFSET(N6,6,0),0),IF(IFERROR(MATCH(O6,RankList_DP3,0)&gt;0,FALSE),OFFSET(O6,6,0),0),IF(IFERROR(MATCH(P6,RankList_DP3,0)&gt;0,FALSE),OFFSET(P6,6,0),0),IF(IFERROR(MATCH(Q6,RankList_DP3,0)&gt;0,FALSE),OFFSET(Q6,6,0),0),IF(IFERROR(MATCH(R6,RankList_DP3,0)&gt;0,FALSE),OFFSET(R6,6,0),0),IF(IFERROR(MATCH(S6,RankList_DP3,0)&gt;0,FALSE),OFFSET(S6,6,0),0),IF(IFERROR(MATCH(T6,RankList_DP3,0)&gt;0,FALSE),OFFSET(T6,6,0),0),IF(IFERROR(MATCH(U6,RankList_DP3,0)&gt;0,FALSE),OFFSET(U6,6,0),0),IF(IFERROR(MATCH(V6,RankList_DP3,0)&gt;0,FALSE),OFFSET(V6,6,0),0),IF(IFERROR(MATCH(W6,RankList_DP3,0)&gt;0,FALSE),OFFSET(W6,6,0),0),IF(IFERROR(MATCH(X6,RankList_DP3,0)&gt;0,FALSE),OFFSET(X6,6,0),0),IF(IFERROR(MATCH(Y6,RankList_DP3,0)&gt;0,FALSE),OFFSET(Y6,6,0),0),IF(IFERROR(MATCH(Z6,RankList_DP3,0)&gt;0,FALSE),OFFSET(Z6,6,0),0),IF(IFERROR(MATCH(AA6,RankList_DP3,0)&gt;0,FALSE),OFFSET(AA6,6,0),0)),0)</f>
        <v>0</v>
      </c>
      <c r="G34" s="71">
        <f t="shared" ca="1" si="26"/>
        <v>0</v>
      </c>
      <c r="H34" s="70">
        <f ca="1">IF(DevMode!G19=TRUE,SUM(IF(IFERROR(MATCH(B6,RankList_DP4,0)&gt;0,FALSE),OFFSET(B6,6,0),0),IF(IFERROR(MATCH(C6,RankList_DP4,0)&gt;0,FALSE),OFFSET(C6,6,0),0),IF(IFERROR(MATCH(D6,RankList_DP4,0)&gt;0,FALSE),OFFSET(D6,6,0),0),IF(IFERROR(MATCH(E6,RankList_DP4,0)&gt;0,FALSE),OFFSET(E6,6,0),0),IF(IFERROR(MATCH(F6,RankList_DP4,0)&gt;0,FALSE),OFFSET(F6,6,0),0),IF(IFERROR(MATCH(G6,RankList_DP4,0)&gt;0,FALSE),OFFSET(G6,6,0),0),IF(IFERROR(MATCH(H6,RankList_DP4,0)&gt;0,FALSE),OFFSET(H6,6,0),0),IF(IFERROR(MATCH(I6,RankList_DP4,0)&gt;0,FALSE),OFFSET(I6,6,0),0),IF(IFERROR(MATCH(J6,RankList_DP4,0)&gt;0,FALSE),OFFSET(J6,6,0),0),IF(IFERROR(MATCH(J6,RankList_DP4,0)&gt;0,FALSE),OFFSET(K6,6,0),0),IF(IFERROR(MATCH(L6,RankList_DP4,0)&gt;0,FALSE),OFFSET(L6,6,0),0),IF(IFERROR(MATCH(M6,RankList_DP4,0)&gt;0,FALSE),OFFSET(M6,6,0),0),IF(IFERROR(MATCH(N6,RankList_DP4,0)&gt;0,FALSE),OFFSET(N6,6,0),0),IF(IFERROR(MATCH(O6,RankList_DP4,0)&gt;0,FALSE),OFFSET(O6,6,0),0),IF(IFERROR(MATCH(P6,RankList_DP4,0)&gt;0,FALSE),OFFSET(P6,6,0),0),IF(IFERROR(MATCH(Q6,RankList_DP4,0)&gt;0,FALSE),OFFSET(Q6,6,0),0),IF(IFERROR(MATCH(R6,RankList_DP4,0)&gt;0,FALSE),OFFSET(R6,6,0),0),IF(IFERROR(MATCH(S6,RankList_DP4,0)&gt;0,FALSE),OFFSET(S6,6,0),0),IF(IFERROR(MATCH(T6,RankList_DP4,0)&gt;0,FALSE),OFFSET(T6,6,0),0),IF(IFERROR(MATCH(U6,RankList_DP4,0)&gt;0,FALSE),OFFSET(U6,6,0),0),IF(IFERROR(MATCH(V6,RankList_DP4,0)&gt;0,FALSE),OFFSET(V6,6,0),0),IF(IFERROR(MATCH(W6,RankList_DP4,0)&gt;0,FALSE),OFFSET(W6,6,0),0),IF(IFERROR(MATCH(X6,RankList_DP4,0)&gt;0,FALSE),OFFSET(X6,6,0),0),IF(IFERROR(MATCH(Y6,RankList_DP4,0)&gt;0,FALSE),OFFSET(Y6,6,0),0),IF(IFERROR(MATCH(Z6,RankList_DP4,0)&gt;0,FALSE),OFFSET(Z6,6,0),0),IF(IFERROR(MATCH(AA6,RankList_DP4,0)&gt;0,FALSE),OFFSET(AA6,6,0),0)),0)</f>
        <v>0</v>
      </c>
      <c r="I34" s="71">
        <f t="shared" ca="1" si="27"/>
        <v>0</v>
      </c>
      <c r="J34" s="70">
        <f ca="1">IF(DevMode!G20=TRUE,SUM(IF(IFERROR(MATCH(B6,RankList_DP5,0)&gt;0,FALSE),OFFSET(B6,6,0),0),IF(IFERROR(MATCH(C6,RankList_DP5,0)&gt;0,FALSE),OFFSET(C6,6,0),0),IF(IFERROR(MATCH(D6,RankList_DP5,0)&gt;0,FALSE),OFFSET(D6,6,0),0),IF(IFERROR(MATCH(E6,RankList_DP5,0)&gt;0,FALSE),OFFSET(E6,6,0),0),IF(IFERROR(MATCH(F6,RankList_DP5,0)&gt;0,FALSE),OFFSET(F6,6,0),0),IF(IFERROR(MATCH(G6,RankList_DP5,0)&gt;0,FALSE),OFFSET(G6,6,0),0),IF(IFERROR(MATCH(H6,RankList_DP5,0)&gt;0,FALSE),OFFSET(H6,6,0),0),IF(IFERROR(MATCH(I6,RankList_DP5,0)&gt;0,FALSE),OFFSET(I6,6,0),0),IF(IFERROR(MATCH(J6,RankList_DP5,0)&gt;0,FALSE),OFFSET(J6,6,0),0),IF(IFERROR(MATCH(J6,RankList_DP5,0)&gt;0,FALSE),OFFSET(K6,6,0),0),IF(IFERROR(MATCH(L6,RankList_DP5,0)&gt;0,FALSE),OFFSET(L6,6,0),0),IF(IFERROR(MATCH(M6,RankList_DP5,0)&gt;0,FALSE),OFFSET(M6,6,0),0),IF(IFERROR(MATCH(N6,RankList_DP5,0)&gt;0,FALSE),OFFSET(N6,6,0),0),IF(IFERROR(MATCH(O6,RankList_DP5,0)&gt;0,FALSE),OFFSET(O6,6,0),0),IF(IFERROR(MATCH(P6,RankList_DP5,0)&gt;0,FALSE),OFFSET(P6,6,0),0),IF(IFERROR(MATCH(Q6,RankList_DP5,0)&gt;0,FALSE),OFFSET(Q6,6,0),0),IF(IFERROR(MATCH(R6,RankList_DP5,0)&gt;0,FALSE),OFFSET(R6,6,0),0),IF(IFERROR(MATCH(S6,RankList_DP5,0)&gt;0,FALSE),OFFSET(S6,6,0),0),IF(IFERROR(MATCH(T6,RankList_DP5,0)&gt;0,FALSE),OFFSET(T6,6,0),0),IF(IFERROR(MATCH(U6,RankList_DP5,0)&gt;0,FALSE),OFFSET(U6,6,0),0),IF(IFERROR(MATCH(V6,RankList_DP5,0)&gt;0,FALSE),OFFSET(V6,6,0),0),IF(IFERROR(MATCH(W6,RankList_DP5,0)&gt;0,FALSE),OFFSET(W6,6,0),0),IF(IFERROR(MATCH(X6,RankList_DP5,0)&gt;0,FALSE),OFFSET(X6,6,0),0),IF(IFERROR(MATCH(Y6,RankList_DP5,0)&gt;0,FALSE),OFFSET(Y6,6,0),0),IF(IFERROR(MATCH(Z6,RankList_DP5,0)&gt;0,FALSE),OFFSET(Z6,6,0),0),IF(IFERROR(MATCH(AA6,RankList_DP5,0)&gt;0,FALSE),OFFSET(AA6,6,0),0)),0)</f>
        <v>0</v>
      </c>
      <c r="K34" s="71">
        <f t="shared" ca="1" si="28"/>
        <v>0</v>
      </c>
      <c r="L34" s="70">
        <f ca="1">IF(DevMode!G21=TRUE,SUM(IF(IFERROR(MATCH(B6,RankList_DP6,0)&gt;0,FALSE),OFFSET(B6,6,0),0),IF(IFERROR(MATCH(C6,RankList_DP6,0)&gt;0,FALSE),OFFSET(C6,6,0),0),IF(IFERROR(MATCH(D6,RankList_DP6,0)&gt;0,FALSE),OFFSET(D6,6,0),0),IF(IFERROR(MATCH(E6,RankList_DP6,0)&gt;0,FALSE),OFFSET(E6,6,0),0),IF(IFERROR(MATCH(F6,RankList_DP6,0)&gt;0,FALSE),OFFSET(F6,6,0),0),IF(IFERROR(MATCH(G6,RankList_DP6,0)&gt;0,FALSE),OFFSET(G6,6,0),0),IF(IFERROR(MATCH(H6,RankList_DP6,0)&gt;0,FALSE),OFFSET(H6,6,0),0),IF(IFERROR(MATCH(I6,RankList_DP6,0)&gt;0,FALSE),OFFSET(I6,6,0),0),IF(IFERROR(MATCH(J6,RankList_DP6,0)&gt;0,FALSE),OFFSET(J6,6,0),0),IF(IFERROR(MATCH(J6,RankList_DP6,0)&gt;0,FALSE),OFFSET(K6,6,0),0),IF(IFERROR(MATCH(L6,RankList_DP6,0)&gt;0,FALSE),OFFSET(L6,6,0),0),IF(IFERROR(MATCH(M6,RankList_DP6,0)&gt;0,FALSE),OFFSET(M6,6,0),0),IF(IFERROR(MATCH(N6,RankList_DP6,0)&gt;0,FALSE),OFFSET(N6,6,0),0),IF(IFERROR(MATCH(O6,RankList_DP6,0)&gt;0,FALSE),OFFSET(O6,6,0),0),IF(IFERROR(MATCH(P6,RankList_DP6,0)&gt;0,FALSE),OFFSET(P6,6,0),0),IF(IFERROR(MATCH(Q6,RankList_DP6,0)&gt;0,FALSE),OFFSET(Q6,6,0),0),IF(IFERROR(MATCH(R6,RankList_DP6,0)&gt;0,FALSE),OFFSET(R6,6,0),0),IF(IFERROR(MATCH(S6,RankList_DP6,0)&gt;0,FALSE),OFFSET(S6,6,0),0),IF(IFERROR(MATCH(T6,RankList_DP6,0)&gt;0,FALSE),OFFSET(T6,6,0),0),IF(IFERROR(MATCH(U6,RankList_DP6,0)&gt;0,FALSE),OFFSET(U6,6,0),0),IF(IFERROR(MATCH(V6,RankList_DP6,0)&gt;0,FALSE),OFFSET(V6,6,0),0),IF(IFERROR(MATCH(W6,RankList_DP6,0)&gt;0,FALSE),OFFSET(W6,6,0),0),IF(IFERROR(MATCH(X6,RankList_DP6,0)&gt;0,FALSE),OFFSET(X6,6,0),0),IF(IFERROR(MATCH(Y6,RankList_DP6,0)&gt;0,FALSE),OFFSET(Y6,6,0),0),IF(IFERROR(MATCH(Z6,RankList_DP6,0)&gt;0,FALSE),OFFSET(Z6,6,0),0),IF(IFERROR(MATCH(AA6,RankList_DP6,0)&gt;0,FALSE),OFFSET(AA6,6,0),0)),0)</f>
        <v>0</v>
      </c>
      <c r="M34" s="71">
        <f t="shared" ca="1" si="29"/>
        <v>0</v>
      </c>
      <c r="N34" s="70">
        <f ca="1">IF(DevMode!G22=TRUE,SUM(IF(IFERROR(MATCH(B6,RankList_DP7,0)&gt;0,FALSE),OFFSET(B6,6,0),0),IF(IFERROR(MATCH(C6,RankList_DP7,0)&gt;0,FALSE),OFFSET(C6,6,0),0),IF(IFERROR(MATCH(D6,RankList_DP7,0)&gt;0,FALSE),OFFSET(D6,6,0),0),IF(IFERROR(MATCH(E6,RankList_DP7,0)&gt;0,FALSE),OFFSET(E6,6,0),0),IF(IFERROR(MATCH(F6,RankList_DP7,0)&gt;0,FALSE),OFFSET(F6,6,0),0),IF(IFERROR(MATCH(G6,RankList_DP7,0)&gt;0,FALSE),OFFSET(G6,6,0),0),IF(IFERROR(MATCH(H6,RankList_DP7,0)&gt;0,FALSE),OFFSET(H6,6,0),0),IF(IFERROR(MATCH(I6,RankList_DP7,0)&gt;0,FALSE),OFFSET(I6,6,0),0),IF(IFERROR(MATCH(J6,RankList_DP7,0)&gt;0,FALSE),OFFSET(J6,6,0),0),IF(IFERROR(MATCH(J6,RankList_DP7,0)&gt;0,FALSE),OFFSET(K6,6,0),0),IF(IFERROR(MATCH(L6,RankList_DP7,0)&gt;0,FALSE),OFFSET(L6,6,0),0),IF(IFERROR(MATCH(M6,RankList_DP7,0)&gt;0,FALSE),OFFSET(M6,6,0),0),IF(IFERROR(MATCH(N6,RankList_DP7,0)&gt;0,FALSE),OFFSET(N6,6,0),0),IF(IFERROR(MATCH(O6,RankList_DP7,0)&gt;0,FALSE),OFFSET(O6,6,0),0),IF(IFERROR(MATCH(P6,RankList_DP7,0)&gt;0,FALSE),OFFSET(P6,6,0),0),IF(IFERROR(MATCH(Q6,RankList_DP7,0)&gt;0,FALSE),OFFSET(Q6,6,0),0),IF(IFERROR(MATCH(R6,RankList_DP7,0)&gt;0,FALSE),OFFSET(R6,6,0),0),IF(IFERROR(MATCH(S6,RankList_DP7,0)&gt;0,FALSE),OFFSET(S6,6,0),0),IF(IFERROR(MATCH(T6,RankList_DP7,0)&gt;0,FALSE),OFFSET(T6,6,0),0),IF(IFERROR(MATCH(U6,RankList_DP7,0)&gt;0,FALSE),OFFSET(U6,6,0),0),IF(IFERROR(MATCH(V6,RankList_DP7,0)&gt;0,FALSE),OFFSET(V6,6,0),0),IF(IFERROR(MATCH(W6,RankList_DP7,0)&gt;0,FALSE),OFFSET(W6,6,0),0),IF(IFERROR(MATCH(X6,RankList_DP7,0)&gt;0,FALSE),OFFSET(X6,6,0),0),IF(IFERROR(MATCH(Y6,RankList_DP7,0)&gt;0,FALSE),OFFSET(Y6,6,0),0),IF(IFERROR(MATCH(Z6,RankList_DP7,0)&gt;0,FALSE),OFFSET(Z6,6,0),0),IF(IFERROR(MATCH(AA6,RankList_DP7,0)&gt;0,FALSE),OFFSET(AA6,6,0),0)),0)</f>
        <v>0</v>
      </c>
      <c r="O34" s="71">
        <f t="shared" ca="1" si="30"/>
        <v>0</v>
      </c>
      <c r="P34" s="70">
        <f ca="1">IF(DevMode!G23=TRUE,SUM(IF(IFERROR(MATCH(B6,RankList_DP8,0)&gt;0,FALSE),OFFSET(B6,6,0),0),IF(IFERROR(MATCH(C6,RankList_DP8,0)&gt;0,FALSE),OFFSET(C6,6,0),0),IF(IFERROR(MATCH(D6,RankList_DP8,0)&gt;0,FALSE),OFFSET(D6,6,0),0),IF(IFERROR(MATCH(E6,RankList_DP8,0)&gt;0,FALSE),OFFSET(E6,6,0),0),IF(IFERROR(MATCH(F6,RankList_DP8,0)&gt;0,FALSE),OFFSET(F6,6,0),0),IF(IFERROR(MATCH(G6,RankList_DP8,0)&gt;0,FALSE),OFFSET(G6,6,0),0),IF(IFERROR(MATCH(H6,RankList_DP8,0)&gt;0,FALSE),OFFSET(H6,6,0),0),IF(IFERROR(MATCH(I6,RankList_DP8,0)&gt;0,FALSE),OFFSET(I6,6,0),0),IF(IFERROR(MATCH(J6,RankList_DP8,0)&gt;0,FALSE),OFFSET(J6,6,0),0),IF(IFERROR(MATCH(J6,RankList_DP8,0)&gt;0,FALSE),OFFSET(K6,6,0),0),IF(IFERROR(MATCH(L6,RankList_DP8,0)&gt;0,FALSE),OFFSET(L6,6,0),0),IF(IFERROR(MATCH(M6,RankList_DP8,0)&gt;0,FALSE),OFFSET(M6,6,0),0),IF(IFERROR(MATCH(N6,RankList_DP8,0)&gt;0,FALSE),OFFSET(N6,6,0),0),IF(IFERROR(MATCH(O6,RankList_DP8,0)&gt;0,FALSE),OFFSET(O6,6,0),0),IF(IFERROR(MATCH(P6,RankList_DP8,0)&gt;0,FALSE),OFFSET(P6,6,0),0),IF(IFERROR(MATCH(Q6,RankList_DP8,0)&gt;0,FALSE),OFFSET(Q6,6,0),0),IF(IFERROR(MATCH(R6,RankList_DP8,0)&gt;0,FALSE),OFFSET(R6,6,0),0),IF(IFERROR(MATCH(S6,RankList_DP8,0)&gt;0,FALSE),OFFSET(S6,6,0),0),IF(IFERROR(MATCH(T6,RankList_DP8,0)&gt;0,FALSE),OFFSET(T6,6,0),0),IF(IFERROR(MATCH(U6,RankList_DP8,0)&gt;0,FALSE),OFFSET(U6,6,0),0),IF(IFERROR(MATCH(V6,RankList_DP8,0)&gt;0,FALSE),OFFSET(V6,6,0),0),IF(IFERROR(MATCH(W6,RankList_DP8,0)&gt;0,FALSE),OFFSET(W6,6,0),0),IF(IFERROR(MATCH(X6,RankList_DP8,0)&gt;0,FALSE),OFFSET(X6,6,0),0),IF(IFERROR(MATCH(Y6,RankList_DP8,0)&gt;0,FALSE),OFFSET(Y6,6,0),0),IF(IFERROR(MATCH(Z6,RankList_DP8,0)&gt;0,FALSE),OFFSET(Z6,6,0),0),IF(IFERROR(MATCH(AA6,RankList_DP8,0)&gt;0,FALSE),OFFSET(AA6,6,0),0)),0)</f>
        <v>0</v>
      </c>
      <c r="Q34" s="71">
        <f t="shared" ca="1" si="31"/>
        <v>0</v>
      </c>
      <c r="R34" s="70">
        <f ca="1">IF(DevMode!G24=TRUE,SUM(IF(IFERROR(MATCH(B6,RankList_DP9,0)&gt;0,FALSE),OFFSET(B6,6,0),0),IF(IFERROR(MATCH(C6,RankList_DP9,0)&gt;0,FALSE),OFFSET(C6,6,0),0),IF(IFERROR(MATCH(D6,RankList_DP9,0)&gt;0,FALSE),OFFSET(D6,6,0),0),IF(IFERROR(MATCH(E6,RankList_DP9,0)&gt;0,FALSE),OFFSET(E6,6,0),0),IF(IFERROR(MATCH(F6,RankList_DP9,0)&gt;0,FALSE),OFFSET(F6,6,0),0),IF(IFERROR(MATCH(G6,RankList_DP9,0)&gt;0,FALSE),OFFSET(G6,6,0),0),IF(IFERROR(MATCH(H6,RankList_DP9,0)&gt;0,FALSE),OFFSET(H6,6,0),0),IF(IFERROR(MATCH(I6,RankList_DP9,0)&gt;0,FALSE),OFFSET(I6,6,0),0),IF(IFERROR(MATCH(J6,RankList_DP9,0)&gt;0,FALSE),OFFSET(J6,6,0),0),IF(IFERROR(MATCH(J6,RankList_DP9,0)&gt;0,FALSE),OFFSET(K6,6,0),0),IF(IFERROR(MATCH(L6,RankList_DP9,0)&gt;0,FALSE),OFFSET(L6,6,0),0),IF(IFERROR(MATCH(M6,RankList_DP9,0)&gt;0,FALSE),OFFSET(M6,6,0),0),IF(IFERROR(MATCH(N6,RankList_DP9,0)&gt;0,FALSE),OFFSET(N6,6,0),0),IF(IFERROR(MATCH(O6,RankList_DP9,0)&gt;0,FALSE),OFFSET(O6,6,0),0),IF(IFERROR(MATCH(P6,RankList_DP9,0)&gt;0,FALSE),OFFSET(P6,6,0),0),IF(IFERROR(MATCH(Q6,RankList_DP9,0)&gt;0,FALSE),OFFSET(Q6,6,0),0),IF(IFERROR(MATCH(R6,RankList_DP9,0)&gt;0,FALSE),OFFSET(R6,6,0),0),IF(IFERROR(MATCH(S6,RankList_DP9,0)&gt;0,FALSE),OFFSET(S6,6,0),0),IF(IFERROR(MATCH(T6,RankList_DP9,0)&gt;0,FALSE),OFFSET(T6,6,0),0),IF(IFERROR(MATCH(U6,RankList_DP9,0)&gt;0,FALSE),OFFSET(U6,6,0),0),IF(IFERROR(MATCH(V6,RankList_DP9,0)&gt;0,FALSE),OFFSET(V6,6,0),0),IF(IFERROR(MATCH(W6,RankList_DP9,0)&gt;0,FALSE),OFFSET(W6,6,0),0),IF(IFERROR(MATCH(X6,RankList_DP9,0)&gt;0,FALSE),OFFSET(X6,6,0),0),IF(IFERROR(MATCH(Y6,RankList_DP9,0)&gt;0,FALSE),OFFSET(Y6,6,0),0),IF(IFERROR(MATCH(Z6,RankList_DP9,0)&gt;0,FALSE),OFFSET(Z6,6,0),0),IF(IFERROR(MATCH(AA6,RankList_DP9,0)&gt;0,FALSE),OFFSET(AA6,6,0),0)),0)</f>
        <v>0</v>
      </c>
      <c r="S34" s="71">
        <f t="shared" ca="1" si="32"/>
        <v>0</v>
      </c>
      <c r="T34" s="159"/>
      <c r="U34" s="157"/>
      <c r="V34" s="158"/>
      <c r="W34" s="157"/>
      <c r="X34" s="157"/>
      <c r="Y34" s="155"/>
      <c r="Z34" s="155"/>
      <c r="AA34" s="154"/>
      <c r="AB34" s="155"/>
      <c r="AC34" s="154"/>
      <c r="AD34" s="154"/>
      <c r="AE34" s="194"/>
      <c r="AF34" s="154"/>
      <c r="AG34" s="154"/>
      <c r="AH34" s="154"/>
      <c r="AI34" s="154"/>
      <c r="AJ34" s="154"/>
      <c r="AK34" s="154"/>
    </row>
    <row r="35" spans="1:37" s="156" customFormat="1" ht="15.75" hidden="1" thickBot="1" x14ac:dyDescent="0.3">
      <c r="A35" s="18" t="str">
        <f>IF(DevMode!A8="","Unused",DevMode!A8)</f>
        <v>SVC</v>
      </c>
      <c r="B35" s="72">
        <f ca="1">IF(DevMode!H16=TRUE,SUM(IF(IFERROR(MATCH(B6,RankList_DP1,0)&gt;0,FALSE),OFFSET(B6,7,0),0),IF(IFERROR(MATCH(C6,RankList_DP1,0)&gt;0,FALSE),OFFSET(C6,7,0),0),IF(IFERROR(MATCH(D6,RankList_DP1,0)&gt;0,FALSE),OFFSET(D6,7,0),0),IF(IFERROR(MATCH(E6,RankList_DP1,0)&gt;0,FALSE),OFFSET(E6,7,0),0),IF(IFERROR(MATCH(F6,RankList_DP1,0)&gt;0,FALSE),OFFSET(F6,7,0),0),IF(IFERROR(MATCH(G6,RankList_DP1,0)&gt;0,FALSE),OFFSET(G6,7,0),0),IF(IFERROR(MATCH(H6,RankList_DP1,0)&gt;0,FALSE),OFFSET(H6,7,0),0),IF(IFERROR(MATCH(I6,RankList_DP1,0)&gt;0,FALSE),OFFSET(I6,7,0),0),IF(IFERROR(MATCH(J6,RankList_DP1,0)&gt;0,FALSE),OFFSET(J6,7,0),0),IF(IFERROR(MATCH(J6,RankList_DP1,0)&gt;0,FALSE),OFFSET(K6,7,0),0),IF(IFERROR(MATCH(L6,RankList_DP1,0)&gt;0,FALSE),OFFSET(L6,7,0),0),IF(IFERROR(MATCH(M6,RankList_DP1,0)&gt;0,FALSE),OFFSET(M6,7,0),0),IF(IFERROR(MATCH(N6,RankList_DP1,0)&gt;0,FALSE),OFFSET(N6,7,0),0),IF(IFERROR(MATCH(O6,RankList_DP1,0)&gt;0,FALSE),OFFSET(O6,7,0),0),IF(IFERROR(MATCH(P6,RankList_DP1,0)&gt;0,FALSE),OFFSET(P6,7,0),0),IF(IFERROR(MATCH(Q6,RankList_DP1,0)&gt;0,FALSE),OFFSET(Q6,7,0),0),IF(IFERROR(MATCH(R6,RankList_DP1,0)&gt;0,FALSE),OFFSET(R6,7,0),0),IF(IFERROR(MATCH(S6,RankList_DP1,0)&gt;0,FALSE),OFFSET(S6,7,0),0),IF(IFERROR(MATCH(T6,RankList_DP1,0)&gt;0,FALSE),OFFSET(T6,7,0),0),IF(IFERROR(MATCH(U6,RankList_DP1,0)&gt;0,FALSE),OFFSET(U6,7,0),0),IF(IFERROR(MATCH(V6,RankList_DP1,0)&gt;0,FALSE),OFFSET(V6,7,0),0),IF(IFERROR(MATCH(W6,RankList_DP1,0)&gt;0,FALSE),OFFSET(W6,7,0),0),IF(IFERROR(MATCH(X6,RankList_DP1,0)&gt;0,FALSE),OFFSET(X6,7,0),0),IF(IFERROR(MATCH(Y6,RankList_DP1,0)&gt;0,FALSE),OFFSET(Y6,7,0),0),IF(IFERROR(MATCH(Z6,RankList_DP1,0)&gt;0,FALSE),OFFSET(Z6,7,0),0),IF(IFERROR(MATCH(AA6,RankList_DP1,0)&gt;0,FALSE),OFFSET(AA6,7,0),0)),0)</f>
        <v>0</v>
      </c>
      <c r="C35" s="73">
        <f t="shared" ca="1" si="24"/>
        <v>0</v>
      </c>
      <c r="D35" s="72">
        <f ca="1">IF(DevMode!H17=TRUE,SUM(IF(IFERROR(MATCH(B6,RankList_DP2,0)&gt;0,FALSE),OFFSET(B6,7,0),0),IF(IFERROR(MATCH(C6,RankList_DP2,0)&gt;0,FALSE),OFFSET(C6,7,0),0),IF(IFERROR(MATCH(D6,RankList_DP2,0)&gt;0,FALSE),OFFSET(D6,7,0),0),IF(IFERROR(MATCH(E6,RankList_DP2,0)&gt;0,FALSE),OFFSET(E6,7,0),0),IF(IFERROR(MATCH(F6,RankList_DP2,0)&gt;0,FALSE),OFFSET(F6,7,0),0),IF(IFERROR(MATCH(G6,RankList_DP2,0)&gt;0,FALSE),OFFSET(G6,7,0),0),IF(IFERROR(MATCH(H6,RankList_DP2,0)&gt;0,FALSE),OFFSET(H6,7,0),0),IF(IFERROR(MATCH(I6,RankList_DP2,0)&gt;0,FALSE),OFFSET(I6,7,0),0),IF(IFERROR(MATCH(J6,RankList_DP2,0)&gt;0,FALSE),OFFSET(J6,7,0),0),IF(IFERROR(MATCH(J6,RankList_DP2,0)&gt;0,FALSE),OFFSET(K6,7,0),0),IF(IFERROR(MATCH(L6,RankList_DP2,0)&gt;0,FALSE),OFFSET(L6,7,0),0),IF(IFERROR(MATCH(M6,RankList_DP2,0)&gt;0,FALSE),OFFSET(M6,7,0),0),IF(IFERROR(MATCH(N6,RankList_DP2,0)&gt;0,FALSE),OFFSET(N6,7,0),0),IF(IFERROR(MATCH(O6,RankList_DP2,0)&gt;0,FALSE),OFFSET(O6,7,0),0),IF(IFERROR(MATCH(P6,RankList_DP2,0)&gt;0,FALSE),OFFSET(P6,7,0),0),IF(IFERROR(MATCH(Q6,RankList_DP2,0)&gt;0,FALSE),OFFSET(Q6,7,0),0),IF(IFERROR(MATCH(R6,RankList_DP2,0)&gt;0,FALSE),OFFSET(R6,7,0),0),IF(IFERROR(MATCH(S6,RankList_DP2,0)&gt;0,FALSE),OFFSET(S6,7,0),0),IF(IFERROR(MATCH(T6,RankList_DP2,0)&gt;0,FALSE),OFFSET(T6,7,0),0),IF(IFERROR(MATCH(U6,RankList_DP2,0)&gt;0,FALSE),OFFSET(U6,7,0),0),IF(IFERROR(MATCH(V6,RankList_DP2,0)&gt;0,FALSE),OFFSET(V6,7,0),0),IF(IFERROR(MATCH(W6,RankList_DP2,0)&gt;0,FALSE),OFFSET(W6,7,0),0),IF(IFERROR(MATCH(X6,RankList_DP2,0)&gt;0,FALSE),OFFSET(X6,7,0),0),IF(IFERROR(MATCH(Y6,RankList_DP2,0)&gt;0,FALSE),OFFSET(Y6,7,0),0),IF(IFERROR(MATCH(Z6,RankList_DP2,0)&gt;0,FALSE),OFFSET(Z6,7,0),0),IF(IFERROR(MATCH(AA6,RankList_DP2,0)&gt;0,FALSE),OFFSET(AA6,7,0),0)),0)</f>
        <v>0</v>
      </c>
      <c r="E35" s="73">
        <f t="shared" ca="1" si="25"/>
        <v>0</v>
      </c>
      <c r="F35" s="72">
        <f ca="1">IF(DevMode!H18=TRUE,SUM(IF(IFERROR(MATCH(B6,RankList_DP3,0)&gt;0,FALSE),OFFSET(B6,7,0),0),IF(IFERROR(MATCH(C6,RankList_DP3,0)&gt;0,FALSE),OFFSET(C6,7,0),0),IF(IFERROR(MATCH(D6,RankList_DP3,0)&gt;0,FALSE),OFFSET(D6,7,0),0),IF(IFERROR(MATCH(E6,RankList_DP3,0)&gt;0,FALSE),OFFSET(E6,7,0),0),IF(IFERROR(MATCH(F6,RankList_DP3,0)&gt;0,FALSE),OFFSET(F6,7,0),0),IF(IFERROR(MATCH(G6,RankList_DP3,0)&gt;0,FALSE),OFFSET(G6,7,0),0),IF(IFERROR(MATCH(H6,RankList_DP3,0)&gt;0,FALSE),OFFSET(H6,7,0),0),IF(IFERROR(MATCH(I6,RankList_DP3,0)&gt;0,FALSE),OFFSET(I6,7,0),0),IF(IFERROR(MATCH(J6,RankList_DP3,0)&gt;0,FALSE),OFFSET(J6,7,0),0),IF(IFERROR(MATCH(J6,RankList_DP3,0)&gt;0,FALSE),OFFSET(K6,7,0),0),IF(IFERROR(MATCH(L6,RankList_DP3,0)&gt;0,FALSE),OFFSET(L6,7,0),0),IF(IFERROR(MATCH(M6,RankList_DP3,0)&gt;0,FALSE),OFFSET(M6,7,0),0),IF(IFERROR(MATCH(N6,RankList_DP3,0)&gt;0,FALSE),OFFSET(N6,7,0),0),IF(IFERROR(MATCH(O6,RankList_DP3,0)&gt;0,FALSE),OFFSET(O6,7,0),0),IF(IFERROR(MATCH(P6,RankList_DP3,0)&gt;0,FALSE),OFFSET(P6,7,0),0),IF(IFERROR(MATCH(Q6,RankList_DP3,0)&gt;0,FALSE),OFFSET(Q6,7,0),0),IF(IFERROR(MATCH(R6,RankList_DP3,0)&gt;0,FALSE),OFFSET(R6,7,0),0),IF(IFERROR(MATCH(S6,RankList_DP3,0)&gt;0,FALSE),OFFSET(S6,7,0),0),IF(IFERROR(MATCH(T6,RankList_DP3,0)&gt;0,FALSE),OFFSET(T6,7,0),0),IF(IFERROR(MATCH(U6,RankList_DP3,0)&gt;0,FALSE),OFFSET(U6,7,0),0),IF(IFERROR(MATCH(V6,RankList_DP3,0)&gt;0,FALSE),OFFSET(V6,7,0),0),IF(IFERROR(MATCH(W6,RankList_DP3,0)&gt;0,FALSE),OFFSET(W6,7,0),0),IF(IFERROR(MATCH(X6,RankList_DP3,0)&gt;0,FALSE),OFFSET(X6,7,0),0),IF(IFERROR(MATCH(Y6,RankList_DP3,0)&gt;0,FALSE),OFFSET(Y6,7,0),0),IF(IFERROR(MATCH(Z6,RankList_DP3,0)&gt;0,FALSE),OFFSET(Z6,7,0),0),IF(IFERROR(MATCH(AA6,RankList_DP3,0)&gt;0,FALSE),OFFSET(AA6,7,0),0)),0)</f>
        <v>0</v>
      </c>
      <c r="G35" s="73">
        <f t="shared" ca="1" si="26"/>
        <v>0</v>
      </c>
      <c r="H35" s="72">
        <f ca="1">IF(DevMode!H19=TRUE,SUM(IF(IFERROR(MATCH(B6,RankList_DP4,0)&gt;0,FALSE),OFFSET(B6,7,0),0),IF(IFERROR(MATCH(C6,RankList_DP4,0)&gt;0,FALSE),OFFSET(C6,7,0),0),IF(IFERROR(MATCH(D6,RankList_DP4,0)&gt;0,FALSE),OFFSET(D6,7,0),0),IF(IFERROR(MATCH(E6,RankList_DP4,0)&gt;0,FALSE),OFFSET(E6,7,0),0),IF(IFERROR(MATCH(F6,RankList_DP4,0)&gt;0,FALSE),OFFSET(F6,7,0),0),IF(IFERROR(MATCH(G6,RankList_DP4,0)&gt;0,FALSE),OFFSET(G6,7,0),0),IF(IFERROR(MATCH(H6,RankList_DP4,0)&gt;0,FALSE),OFFSET(H6,7,0),0),IF(IFERROR(MATCH(I6,RankList_DP4,0)&gt;0,FALSE),OFFSET(I6,7,0),0),IF(IFERROR(MATCH(J6,RankList_DP4,0)&gt;0,FALSE),OFFSET(J6,7,0),0),IF(IFERROR(MATCH(J6,RankList_DP4,0)&gt;0,FALSE),OFFSET(K6,7,0),0),IF(IFERROR(MATCH(L6,RankList_DP4,0)&gt;0,FALSE),OFFSET(L6,7,0),0),IF(IFERROR(MATCH(M6,RankList_DP4,0)&gt;0,FALSE),OFFSET(M6,7,0),0),IF(IFERROR(MATCH(N6,RankList_DP4,0)&gt;0,FALSE),OFFSET(N6,7,0),0),IF(IFERROR(MATCH(O6,RankList_DP4,0)&gt;0,FALSE),OFFSET(O6,7,0),0),IF(IFERROR(MATCH(P6,RankList_DP4,0)&gt;0,FALSE),OFFSET(P6,7,0),0),IF(IFERROR(MATCH(Q6,RankList_DP4,0)&gt;0,FALSE),OFFSET(Q6,7,0),0),IF(IFERROR(MATCH(R6,RankList_DP4,0)&gt;0,FALSE),OFFSET(R6,7,0),0),IF(IFERROR(MATCH(S6,RankList_DP4,0)&gt;0,FALSE),OFFSET(S6,7,0),0),IF(IFERROR(MATCH(T6,RankList_DP4,0)&gt;0,FALSE),OFFSET(T6,7,0),0),IF(IFERROR(MATCH(U6,RankList_DP4,0)&gt;0,FALSE),OFFSET(U6,7,0),0),IF(IFERROR(MATCH(V6,RankList_DP4,0)&gt;0,FALSE),OFFSET(V6,7,0),0),IF(IFERROR(MATCH(W6,RankList_DP4,0)&gt;0,FALSE),OFFSET(W6,7,0),0),IF(IFERROR(MATCH(X6,RankList_DP4,0)&gt;0,FALSE),OFFSET(X6,7,0),0),IF(IFERROR(MATCH(Y6,RankList_DP4,0)&gt;0,FALSE),OFFSET(Y6,7,0),0),IF(IFERROR(MATCH(Z6,RankList_DP4,0)&gt;0,FALSE),OFFSET(Z6,7,0),0),IF(IFERROR(MATCH(AA6,RankList_DP4,0)&gt;0,FALSE),OFFSET(AA6,7,0),0)),0)</f>
        <v>0</v>
      </c>
      <c r="I35" s="73">
        <f t="shared" ca="1" si="27"/>
        <v>0</v>
      </c>
      <c r="J35" s="72">
        <f ca="1">IF(DevMode!H20=TRUE,SUM(IF(IFERROR(MATCH(B6,RankList_DP5,0)&gt;0,FALSE),OFFSET(B6,7,0),0),IF(IFERROR(MATCH(C6,RankList_DP5,0)&gt;0,FALSE),OFFSET(C6,7,0),0),IF(IFERROR(MATCH(D6,RankList_DP5,0)&gt;0,FALSE),OFFSET(D6,7,0),0),IF(IFERROR(MATCH(E6,RankList_DP5,0)&gt;0,FALSE),OFFSET(E6,7,0),0),IF(IFERROR(MATCH(F6,RankList_DP5,0)&gt;0,FALSE),OFFSET(F6,7,0),0),IF(IFERROR(MATCH(G6,RankList_DP5,0)&gt;0,FALSE),OFFSET(G6,7,0),0),IF(IFERROR(MATCH(H6,RankList_DP5,0)&gt;0,FALSE),OFFSET(H6,7,0),0),IF(IFERROR(MATCH(I6,RankList_DP5,0)&gt;0,FALSE),OFFSET(I6,7,0),0),IF(IFERROR(MATCH(J6,RankList_DP5,0)&gt;0,FALSE),OFFSET(J6,7,0),0),IF(IFERROR(MATCH(J6,RankList_DP5,0)&gt;0,FALSE),OFFSET(K6,7,0),0),IF(IFERROR(MATCH(L6,RankList_DP5,0)&gt;0,FALSE),OFFSET(L6,7,0),0),IF(IFERROR(MATCH(M6,RankList_DP5,0)&gt;0,FALSE),OFFSET(M6,7,0),0),IF(IFERROR(MATCH(N6,RankList_DP5,0)&gt;0,FALSE),OFFSET(N6,7,0),0),IF(IFERROR(MATCH(O6,RankList_DP5,0)&gt;0,FALSE),OFFSET(O6,7,0),0),IF(IFERROR(MATCH(P6,RankList_DP5,0)&gt;0,FALSE),OFFSET(P6,7,0),0),IF(IFERROR(MATCH(Q6,RankList_DP5,0)&gt;0,FALSE),OFFSET(Q6,7,0),0),IF(IFERROR(MATCH(R6,RankList_DP5,0)&gt;0,FALSE),OFFSET(R6,7,0),0),IF(IFERROR(MATCH(S6,RankList_DP5,0)&gt;0,FALSE),OFFSET(S6,7,0),0),IF(IFERROR(MATCH(T6,RankList_DP5,0)&gt;0,FALSE),OFFSET(T6,7,0),0),IF(IFERROR(MATCH(U6,RankList_DP5,0)&gt;0,FALSE),OFFSET(U6,7,0),0),IF(IFERROR(MATCH(V6,RankList_DP5,0)&gt;0,FALSE),OFFSET(V6,7,0),0),IF(IFERROR(MATCH(W6,RankList_DP5,0)&gt;0,FALSE),OFFSET(W6,7,0),0),IF(IFERROR(MATCH(X6,RankList_DP5,0)&gt;0,FALSE),OFFSET(X6,7,0),0),IF(IFERROR(MATCH(Y6,RankList_DP5,0)&gt;0,FALSE),OFFSET(Y6,7,0),0),IF(IFERROR(MATCH(Z6,RankList_DP5,0)&gt;0,FALSE),OFFSET(Z6,7,0),0),IF(IFERROR(MATCH(AA6,RankList_DP5,0)&gt;0,FALSE),OFFSET(AA6,7,0),0)),0)</f>
        <v>0</v>
      </c>
      <c r="K35" s="73">
        <f t="shared" ca="1" si="28"/>
        <v>0</v>
      </c>
      <c r="L35" s="72">
        <f ca="1">IF(DevMode!H21=TRUE,SUM(IF(IFERROR(MATCH(B6,RankList_DP6,0)&gt;0,FALSE),OFFSET(B6,7,0),0),IF(IFERROR(MATCH(C6,RankList_DP6,0)&gt;0,FALSE),OFFSET(C6,7,0),0),IF(IFERROR(MATCH(D6,RankList_DP6,0)&gt;0,FALSE),OFFSET(D6,7,0),0),IF(IFERROR(MATCH(E6,RankList_DP6,0)&gt;0,FALSE),OFFSET(E6,7,0),0),IF(IFERROR(MATCH(F6,RankList_DP6,0)&gt;0,FALSE),OFFSET(F6,7,0),0),IF(IFERROR(MATCH(G6,RankList_DP6,0)&gt;0,FALSE),OFFSET(G6,7,0),0),IF(IFERROR(MATCH(H6,RankList_DP6,0)&gt;0,FALSE),OFFSET(H6,7,0),0),IF(IFERROR(MATCH(I6,RankList_DP6,0)&gt;0,FALSE),OFFSET(I6,7,0),0),IF(IFERROR(MATCH(J6,RankList_DP6,0)&gt;0,FALSE),OFFSET(J6,7,0),0),IF(IFERROR(MATCH(J6,RankList_DP6,0)&gt;0,FALSE),OFFSET(K6,7,0),0),IF(IFERROR(MATCH(L6,RankList_DP6,0)&gt;0,FALSE),OFFSET(L6,7,0),0),IF(IFERROR(MATCH(M6,RankList_DP6,0)&gt;0,FALSE),OFFSET(M6,7,0),0),IF(IFERROR(MATCH(N6,RankList_DP6,0)&gt;0,FALSE),OFFSET(N6,7,0),0),IF(IFERROR(MATCH(O6,RankList_DP6,0)&gt;0,FALSE),OFFSET(O6,7,0),0),IF(IFERROR(MATCH(P6,RankList_DP6,0)&gt;0,FALSE),OFFSET(P6,7,0),0),IF(IFERROR(MATCH(Q6,RankList_DP6,0)&gt;0,FALSE),OFFSET(Q6,7,0),0),IF(IFERROR(MATCH(R6,RankList_DP6,0)&gt;0,FALSE),OFFSET(R6,7,0),0),IF(IFERROR(MATCH(S6,RankList_DP6,0)&gt;0,FALSE),OFFSET(S6,7,0),0),IF(IFERROR(MATCH(T6,RankList_DP6,0)&gt;0,FALSE),OFFSET(T6,7,0),0),IF(IFERROR(MATCH(U6,RankList_DP6,0)&gt;0,FALSE),OFFSET(U6,7,0),0),IF(IFERROR(MATCH(V6,RankList_DP6,0)&gt;0,FALSE),OFFSET(V6,7,0),0),IF(IFERROR(MATCH(W6,RankList_DP6,0)&gt;0,FALSE),OFFSET(W6,7,0),0),IF(IFERROR(MATCH(X6,RankList_DP6,0)&gt;0,FALSE),OFFSET(X6,7,0),0),IF(IFERROR(MATCH(Y6,RankList_DP6,0)&gt;0,FALSE),OFFSET(Y6,7,0),0),IF(IFERROR(MATCH(Z6,RankList_DP6,0)&gt;0,FALSE),OFFSET(Z6,7,0),0),IF(IFERROR(MATCH(AA6,RankList_DP6,0)&gt;0,FALSE),OFFSET(AA6,7,0),0)),0)</f>
        <v>0</v>
      </c>
      <c r="M35" s="73">
        <f t="shared" ca="1" si="29"/>
        <v>0</v>
      </c>
      <c r="N35" s="72">
        <f ca="1">IF(DevMode!H22=TRUE,SUM(IF(IFERROR(MATCH(B6,RankList_DP7,0)&gt;0,FALSE),OFFSET(B6,7,0),0),IF(IFERROR(MATCH(C6,RankList_DP7,0)&gt;0,FALSE),OFFSET(C6,7,0),0),IF(IFERROR(MATCH(D6,RankList_DP7,0)&gt;0,FALSE),OFFSET(D6,7,0),0),IF(IFERROR(MATCH(E6,RankList_DP7,0)&gt;0,FALSE),OFFSET(E6,7,0),0),IF(IFERROR(MATCH(F6,RankList_DP7,0)&gt;0,FALSE),OFFSET(F6,7,0),0),IF(IFERROR(MATCH(G6,RankList_DP7,0)&gt;0,FALSE),OFFSET(G6,7,0),0),IF(IFERROR(MATCH(H6,RankList_DP7,0)&gt;0,FALSE),OFFSET(H6,7,0),0),IF(IFERROR(MATCH(I6,RankList_DP7,0)&gt;0,FALSE),OFFSET(I6,7,0),0),IF(IFERROR(MATCH(J6,RankList_DP7,0)&gt;0,FALSE),OFFSET(J6,7,0),0),IF(IFERROR(MATCH(J6,RankList_DP7,0)&gt;0,FALSE),OFFSET(K6,7,0),0),IF(IFERROR(MATCH(L6,RankList_DP7,0)&gt;0,FALSE),OFFSET(L6,7,0),0),IF(IFERROR(MATCH(M6,RankList_DP7,0)&gt;0,FALSE),OFFSET(M6,7,0),0),IF(IFERROR(MATCH(N6,RankList_DP7,0)&gt;0,FALSE),OFFSET(N6,7,0),0),IF(IFERROR(MATCH(O6,RankList_DP7,0)&gt;0,FALSE),OFFSET(O6,7,0),0),IF(IFERROR(MATCH(P6,RankList_DP7,0)&gt;0,FALSE),OFFSET(P6,7,0),0),IF(IFERROR(MATCH(Q6,RankList_DP7,0)&gt;0,FALSE),OFFSET(Q6,7,0),0),IF(IFERROR(MATCH(R6,RankList_DP7,0)&gt;0,FALSE),OFFSET(R6,7,0),0),IF(IFERROR(MATCH(S6,RankList_DP7,0)&gt;0,FALSE),OFFSET(S6,7,0),0),IF(IFERROR(MATCH(T6,RankList_DP7,0)&gt;0,FALSE),OFFSET(T6,7,0),0),IF(IFERROR(MATCH(U6,RankList_DP7,0)&gt;0,FALSE),OFFSET(U6,7,0),0),IF(IFERROR(MATCH(V6,RankList_DP7,0)&gt;0,FALSE),OFFSET(V6,7,0),0),IF(IFERROR(MATCH(W6,RankList_DP7,0)&gt;0,FALSE),OFFSET(W6,7,0),0),IF(IFERROR(MATCH(X6,RankList_DP7,0)&gt;0,FALSE),OFFSET(X6,7,0),0),IF(IFERROR(MATCH(Y6,RankList_DP7,0)&gt;0,FALSE),OFFSET(Y6,7,0),0),IF(IFERROR(MATCH(Z6,RankList_DP7,0)&gt;0,FALSE),OFFSET(Z6,7,0),0),IF(IFERROR(MATCH(AA6,RankList_DP7,0)&gt;0,FALSE),OFFSET(AA6,7,0),0)),0)</f>
        <v>0</v>
      </c>
      <c r="O35" s="73">
        <f t="shared" ca="1" si="30"/>
        <v>0</v>
      </c>
      <c r="P35" s="72">
        <f ca="1">IF(DevMode!H23=TRUE,SUM(IF(IFERROR(MATCH(B6,RankList_DP8,0)&gt;0,FALSE),OFFSET(B6,7,0),0),IF(IFERROR(MATCH(C6,RankList_DP8,0)&gt;0,FALSE),OFFSET(C6,7,0),0),IF(IFERROR(MATCH(D6,RankList_DP8,0)&gt;0,FALSE),OFFSET(D6,7,0),0),IF(IFERROR(MATCH(E6,RankList_DP8,0)&gt;0,FALSE),OFFSET(E6,7,0),0),IF(IFERROR(MATCH(F6,RankList_DP8,0)&gt;0,FALSE),OFFSET(F6,7,0),0),IF(IFERROR(MATCH(G6,RankList_DP8,0)&gt;0,FALSE),OFFSET(G6,7,0),0),IF(IFERROR(MATCH(H6,RankList_DP8,0)&gt;0,FALSE),OFFSET(H6,7,0),0),IF(IFERROR(MATCH(I6,RankList_DP8,0)&gt;0,FALSE),OFFSET(I6,7,0),0),IF(IFERROR(MATCH(J6,RankList_DP8,0)&gt;0,FALSE),OFFSET(J6,7,0),0),IF(IFERROR(MATCH(J6,RankList_DP8,0)&gt;0,FALSE),OFFSET(K6,7,0),0),IF(IFERROR(MATCH(L6,RankList_DP8,0)&gt;0,FALSE),OFFSET(L6,7,0),0),IF(IFERROR(MATCH(M6,RankList_DP8,0)&gt;0,FALSE),OFFSET(M6,7,0),0),IF(IFERROR(MATCH(N6,RankList_DP8,0)&gt;0,FALSE),OFFSET(N6,7,0),0),IF(IFERROR(MATCH(O6,RankList_DP8,0)&gt;0,FALSE),OFFSET(O6,7,0),0),IF(IFERROR(MATCH(P6,RankList_DP8,0)&gt;0,FALSE),OFFSET(P6,7,0),0),IF(IFERROR(MATCH(Q6,RankList_DP8,0)&gt;0,FALSE),OFFSET(Q6,7,0),0),IF(IFERROR(MATCH(R6,RankList_DP8,0)&gt;0,FALSE),OFFSET(R6,7,0),0),IF(IFERROR(MATCH(S6,RankList_DP8,0)&gt;0,FALSE),OFFSET(S6,7,0),0),IF(IFERROR(MATCH(T6,RankList_DP8,0)&gt;0,FALSE),OFFSET(T6,7,0),0),IF(IFERROR(MATCH(U6,RankList_DP8,0)&gt;0,FALSE),OFFSET(U6,7,0),0),IF(IFERROR(MATCH(V6,RankList_DP8,0)&gt;0,FALSE),OFFSET(V6,7,0),0),IF(IFERROR(MATCH(W6,RankList_DP8,0)&gt;0,FALSE),OFFSET(W6,7,0),0),IF(IFERROR(MATCH(X6,RankList_DP8,0)&gt;0,FALSE),OFFSET(X6,7,0),0),IF(IFERROR(MATCH(Y6,RankList_DP8,0)&gt;0,FALSE),OFFSET(Y6,7,0),0),IF(IFERROR(MATCH(Z6,RankList_DP8,0)&gt;0,FALSE),OFFSET(Z6,7,0),0),IF(IFERROR(MATCH(AA6,RankList_DP8,0)&gt;0,FALSE),OFFSET(AA6,7,0),0)),0)</f>
        <v>0</v>
      </c>
      <c r="Q35" s="73">
        <f t="shared" ca="1" si="31"/>
        <v>0</v>
      </c>
      <c r="R35" s="72">
        <f ca="1">IF(DevMode!H24=TRUE,SUM(IF(IFERROR(MATCH(B6,RankList_DP9,0)&gt;0,FALSE),OFFSET(B6,7,0),0),IF(IFERROR(MATCH(C6,RankList_DP9,0)&gt;0,FALSE),OFFSET(C6,7,0),0),IF(IFERROR(MATCH(D6,RankList_DP9,0)&gt;0,FALSE),OFFSET(D6,7,0),0),IF(IFERROR(MATCH(E6,RankList_DP9,0)&gt;0,FALSE),OFFSET(E6,7,0),0),IF(IFERROR(MATCH(F6,RankList_DP9,0)&gt;0,FALSE),OFFSET(F6,7,0),0),IF(IFERROR(MATCH(G6,RankList_DP9,0)&gt;0,FALSE),OFFSET(G6,7,0),0),IF(IFERROR(MATCH(H6,RankList_DP9,0)&gt;0,FALSE),OFFSET(H6,7,0),0),IF(IFERROR(MATCH(I6,RankList_DP9,0)&gt;0,FALSE),OFFSET(I6,7,0),0),IF(IFERROR(MATCH(J6,RankList_DP9,0)&gt;0,FALSE),OFFSET(J6,7,0),0),IF(IFERROR(MATCH(J6,RankList_DP9,0)&gt;0,FALSE),OFFSET(K6,7,0),0),IF(IFERROR(MATCH(L6,RankList_DP9,0)&gt;0,FALSE),OFFSET(L6,7,0),0),IF(IFERROR(MATCH(M6,RankList_DP9,0)&gt;0,FALSE),OFFSET(M6,7,0),0),IF(IFERROR(MATCH(N6,RankList_DP9,0)&gt;0,FALSE),OFFSET(N6,7,0),0),IF(IFERROR(MATCH(O6,RankList_DP9,0)&gt;0,FALSE),OFFSET(O6,7,0),0),IF(IFERROR(MATCH(P6,RankList_DP9,0)&gt;0,FALSE),OFFSET(P6,7,0),0),IF(IFERROR(MATCH(Q6,RankList_DP9,0)&gt;0,FALSE),OFFSET(Q6,7,0),0),IF(IFERROR(MATCH(R6,RankList_DP9,0)&gt;0,FALSE),OFFSET(R6,7,0),0),IF(IFERROR(MATCH(S6,RankList_DP9,0)&gt;0,FALSE),OFFSET(S6,7,0),0),IF(IFERROR(MATCH(T6,RankList_DP9,0)&gt;0,FALSE),OFFSET(T6,7,0),0),IF(IFERROR(MATCH(U6,RankList_DP9,0)&gt;0,FALSE),OFFSET(U6,7,0),0),IF(IFERROR(MATCH(V6,RankList_DP9,0)&gt;0,FALSE),OFFSET(V6,7,0),0),IF(IFERROR(MATCH(W6,RankList_DP9,0)&gt;0,FALSE),OFFSET(W6,7,0),0),IF(IFERROR(MATCH(X6,RankList_DP9,0)&gt;0,FALSE),OFFSET(X6,7,0),0),IF(IFERROR(MATCH(Y6,RankList_DP9,0)&gt;0,FALSE),OFFSET(Y6,7,0),0),IF(IFERROR(MATCH(Z6,RankList_DP9,0)&gt;0,FALSE),OFFSET(Z6,7,0),0),IF(IFERROR(MATCH(AA6,RankList_DP9,0)&gt;0,FALSE),OFFSET(AA6,7,0),0)),0)</f>
        <v>0</v>
      </c>
      <c r="S35" s="73">
        <f t="shared" ca="1" si="32"/>
        <v>0</v>
      </c>
      <c r="T35" s="159"/>
      <c r="U35" s="157"/>
      <c r="V35" s="158"/>
      <c r="W35" s="157"/>
      <c r="X35" s="157"/>
      <c r="Y35" s="155"/>
      <c r="Z35" s="155"/>
      <c r="AA35" s="154"/>
      <c r="AB35" s="155"/>
      <c r="AC35" s="154"/>
      <c r="AD35" s="154"/>
      <c r="AE35" s="194"/>
      <c r="AF35" s="154"/>
      <c r="AG35" s="154"/>
      <c r="AH35" s="154"/>
      <c r="AI35" s="154"/>
      <c r="AJ35" s="154"/>
      <c r="AK35" s="154"/>
    </row>
    <row r="36" spans="1:37" s="156" customFormat="1" ht="15.75" hidden="1" thickBot="1" x14ac:dyDescent="0.3">
      <c r="A36" s="114" t="s">
        <v>28</v>
      </c>
      <c r="B36" s="115">
        <f ca="1">SUM(B29:B35)</f>
        <v>0</v>
      </c>
      <c r="C36" s="116" t="str">
        <f ca="1">IF(SUM(C29:C35)=0, "", IF(SUM(C29:C35)&gt;C37, "High", IF(SUM(C29:C35)&lt;C37, "Low", "Good")))</f>
        <v/>
      </c>
      <c r="D36" s="115">
        <f ca="1">SUM(D29:D35)</f>
        <v>0</v>
      </c>
      <c r="E36" s="116" t="str">
        <f ca="1">IF(SUM(E29:E35)=0, "", IF(SUM(E29:E35)&gt;E37, "High", IF(SUM(E29:E35)&lt;E37, "Low", "Good")))</f>
        <v/>
      </c>
      <c r="F36" s="115">
        <f ca="1">SUM(F29:F35)</f>
        <v>0</v>
      </c>
      <c r="G36" s="116" t="str">
        <f ca="1">IF(SUM(G29:G35)=0, "", IF(SUM(G29:G35)&gt;G37, "High", IF(SUM(G29:G35)&lt;G37, "Low", "Good")))</f>
        <v/>
      </c>
      <c r="H36" s="115">
        <f ca="1">SUM(H29:H35)</f>
        <v>0</v>
      </c>
      <c r="I36" s="116" t="str">
        <f ca="1">IF(SUM(I29:I35)=0, "", IF(SUM(I29:I35)&gt;I37, "High", IF(SUM(I29:I35)&lt;I37, "Low", "Good")))</f>
        <v/>
      </c>
      <c r="J36" s="115">
        <f ca="1">SUM(J29:J35)</f>
        <v>0</v>
      </c>
      <c r="K36" s="116" t="str">
        <f ca="1">IF(SUM(K29:K35)=0, "", IF(SUM(K29:K35)&gt;K37, "High", IF(SUM(K29:K35)&lt;K37, "Low", "Good")))</f>
        <v/>
      </c>
      <c r="L36" s="115">
        <f ca="1">SUM(L29:L35)</f>
        <v>0</v>
      </c>
      <c r="M36" s="116" t="str">
        <f ca="1">IF(SUM(M29:M35)=0, "", IF(SUM(M29:M35)&gt;M37, "High", IF(SUM(M29:M35)&lt;M37, "Low", "Good")))</f>
        <v/>
      </c>
      <c r="N36" s="115">
        <f ca="1">SUM(N29:N35)</f>
        <v>0</v>
      </c>
      <c r="O36" s="116" t="str">
        <f ca="1">IF(SUM(O29:O35)=0, "", IF(SUM(O29:O35)&gt;O37, "High", IF(SUM(O29:O35)&lt;O37, "Low", "Good")))</f>
        <v/>
      </c>
      <c r="P36" s="115">
        <f ca="1">SUM(P29:P35)</f>
        <v>0</v>
      </c>
      <c r="Q36" s="116" t="str">
        <f ca="1">IF(SUM(Q29:Q35)=0, "", IF(SUM(Q29:Q35)&gt;Q37, "High", IF(SUM(Q29:Q35)&lt;Q37, "Low", "Good")))</f>
        <v/>
      </c>
      <c r="R36" s="143">
        <f ca="1">SUM(R29:R35)</f>
        <v>0</v>
      </c>
      <c r="S36" s="144" t="str">
        <f ca="1">IF(SUM(S29:S35)=0, "", IF(SUM(S29:S35)&gt;S37, "High", IF(SUM(S29:S35)&lt;S37, "Low", "Good")))</f>
        <v/>
      </c>
      <c r="T36" s="159"/>
      <c r="U36" s="157"/>
      <c r="V36" s="157"/>
      <c r="W36" s="157"/>
      <c r="X36" s="157"/>
      <c r="Y36" s="155"/>
      <c r="Z36" s="155"/>
      <c r="AA36" s="155"/>
      <c r="AB36" s="155"/>
      <c r="AC36" s="154"/>
      <c r="AD36" s="154"/>
      <c r="AE36" s="154"/>
      <c r="AF36" s="154"/>
      <c r="AG36" s="154"/>
      <c r="AH36" s="154"/>
      <c r="AI36" s="154"/>
      <c r="AJ36" s="154"/>
      <c r="AK36" s="154"/>
    </row>
    <row r="37" spans="1:37" s="156" customFormat="1" ht="15.75" hidden="1" thickBot="1" x14ac:dyDescent="0.3">
      <c r="A37" s="119" t="s">
        <v>48</v>
      </c>
      <c r="B37" s="117" t="str">
        <f ca="1">INDIRECT("A"&amp;CELL("row",INDEX(B29:B35,MATCH(MAX(B29:B35),B29:B35,0))))</f>
        <v>Alpha</v>
      </c>
      <c r="C37" s="118">
        <f>DAY(End)</f>
        <v>31</v>
      </c>
      <c r="D37" s="117" t="str">
        <f ca="1">INDIRECT("A"&amp;CELL("row",INDEX(D29:D35,MATCH(MAX(D29:D35),D29:D35,0))))</f>
        <v>Alpha</v>
      </c>
      <c r="E37" s="118">
        <f>DAY(End)</f>
        <v>31</v>
      </c>
      <c r="F37" s="117" t="str">
        <f ca="1">INDIRECT("A"&amp;CELL("row",INDEX(F29:F35,MATCH(MAX(F29:F35),F29:F35,0))))</f>
        <v>Alpha</v>
      </c>
      <c r="G37" s="118">
        <f>DAY(End)</f>
        <v>31</v>
      </c>
      <c r="H37" s="117" t="str">
        <f ca="1">INDIRECT("A"&amp;CELL("row",INDEX(H29:H35,MATCH(MAX(H29:H35),H29:H35,0))))</f>
        <v>Alpha</v>
      </c>
      <c r="I37" s="118">
        <f>DAY(End)</f>
        <v>31</v>
      </c>
      <c r="J37" s="117" t="str">
        <f ca="1">INDIRECT("A"&amp;CELL("row",INDEX(J29:J35,MATCH(MAX(J29:J35),J29:J35,0))))</f>
        <v>Alpha</v>
      </c>
      <c r="K37" s="118">
        <f>DAY(End)</f>
        <v>31</v>
      </c>
      <c r="L37" s="117" t="str">
        <f ca="1">INDIRECT("A"&amp;CELL("row",INDEX(L29:L35,MATCH(MAX(L29:L35),L29:L35,0))))</f>
        <v>Alpha</v>
      </c>
      <c r="M37" s="118">
        <f>DAY(End)*4</f>
        <v>124</v>
      </c>
      <c r="N37" s="117" t="str">
        <f ca="1">INDIRECT("A"&amp;CELL("row",INDEX(N29:N35,MATCH(MAX(N29:N35),N29:N35,0))))</f>
        <v>Alpha</v>
      </c>
      <c r="O37" s="118">
        <f>DAY(End)</f>
        <v>31</v>
      </c>
      <c r="P37" s="117" t="str">
        <f ca="1">INDIRECT("A"&amp;CELL("row",INDEX(P29:P35,MATCH(MAX(P29:P35),P29:P35,0))))</f>
        <v>Alpha</v>
      </c>
      <c r="Q37" s="118">
        <f>DAY(End)</f>
        <v>31</v>
      </c>
      <c r="R37" s="117" t="str">
        <f ca="1">INDIRECT("A"&amp;CELL("row",INDEX(R29:R35,MATCH(MAX(R29:R35),R29:R35,0))))</f>
        <v>Alpha</v>
      </c>
      <c r="S37" s="118">
        <f>DAY(End)*2</f>
        <v>62</v>
      </c>
      <c r="T37" s="160"/>
      <c r="U37" s="160"/>
      <c r="V37" s="160"/>
      <c r="W37" s="160"/>
      <c r="X37" s="160"/>
      <c r="Y37" s="154"/>
      <c r="Z37" s="154"/>
      <c r="AA37" s="154"/>
      <c r="AB37" s="154"/>
      <c r="AC37" s="154"/>
      <c r="AD37" s="154"/>
      <c r="AE37" s="154"/>
      <c r="AF37" s="154"/>
      <c r="AG37" s="154"/>
      <c r="AH37" s="154"/>
      <c r="AI37" s="154"/>
      <c r="AJ37" s="154"/>
      <c r="AK37" s="154"/>
    </row>
    <row r="38" spans="1:37" s="156" customFormat="1" hidden="1" x14ac:dyDescent="0.25">
      <c r="A38" s="154"/>
      <c r="B38" s="154">
        <f ca="1">IFERROR(SUM(SUM(DAY(End)/7)/SUM(B36/7))*100,0)</f>
        <v>0</v>
      </c>
      <c r="C38" s="154"/>
      <c r="D38" s="154">
        <f ca="1">IFERROR(SUM(SUM(DAY(End)/7)/SUM(D36/7))*100,0)</f>
        <v>0</v>
      </c>
      <c r="E38" s="154"/>
      <c r="F38" s="154">
        <f ca="1">IFERROR(SUM(SUM(DAY(End)/7)/SUM(F36/7))*100,0)</f>
        <v>0</v>
      </c>
      <c r="G38" s="154"/>
      <c r="H38" s="154">
        <f ca="1">IFERROR(SUM(SUM(DAY(End)/4)/SUM(H36/4))*100,0)</f>
        <v>0</v>
      </c>
      <c r="I38" s="154"/>
      <c r="J38" s="154">
        <f ca="1">IFERROR(SUM(SUM(DAY(End)/4)/SUM(J36/4))*100,0)</f>
        <v>0</v>
      </c>
      <c r="K38" s="154"/>
      <c r="L38" s="154">
        <f ca="1">IFERROR(SUM(SUM(SUM(DAY(End)*4)/4)/SUM(L36/4))*100,0)</f>
        <v>0</v>
      </c>
      <c r="M38" s="154"/>
      <c r="N38" s="154">
        <f ca="1">IFERROR(SUM(SUM(DAY(End)/2)/SUM(N36/2))*100,0)</f>
        <v>0</v>
      </c>
      <c r="O38" s="154"/>
      <c r="P38" s="154">
        <f ca="1">IFERROR(SUM(SUM(DAY(End)/2)/SUM(P36/2))*100,0)</f>
        <v>0</v>
      </c>
      <c r="Q38" s="154"/>
      <c r="R38" s="154">
        <f ca="1">IFERROR(SUM(SUM(SUM(DAY(End)*2)/2)/SUM(R36/2))*100,0)</f>
        <v>0</v>
      </c>
      <c r="S38" s="154"/>
      <c r="T38" s="160"/>
      <c r="U38" s="160"/>
      <c r="V38" s="160"/>
      <c r="W38" s="160"/>
      <c r="X38" s="160"/>
      <c r="Y38" s="154"/>
      <c r="Z38" s="154"/>
      <c r="AA38" s="154"/>
      <c r="AB38" s="154"/>
      <c r="AC38" s="154"/>
      <c r="AD38" s="154"/>
      <c r="AE38" s="154"/>
      <c r="AF38" s="154"/>
      <c r="AG38" s="154"/>
      <c r="AH38" s="154"/>
      <c r="AI38" s="154"/>
      <c r="AJ38" s="154"/>
      <c r="AK38" s="154"/>
    </row>
    <row r="39" spans="1:37" x14ac:dyDescent="0.25">
      <c r="W39" s="96"/>
    </row>
    <row r="40" spans="1:37" x14ac:dyDescent="0.25">
      <c r="W40" s="96"/>
    </row>
    <row r="41" spans="1:37" x14ac:dyDescent="0.25">
      <c r="W41" s="96"/>
    </row>
    <row r="42" spans="1:37" x14ac:dyDescent="0.25">
      <c r="W42" s="96"/>
    </row>
    <row r="43" spans="1:37" x14ac:dyDescent="0.25">
      <c r="W43" s="96"/>
    </row>
    <row r="44" spans="1:37" x14ac:dyDescent="0.25">
      <c r="Q44" s="97"/>
      <c r="R44" s="97"/>
      <c r="S44" s="97"/>
      <c r="T44" s="97"/>
      <c r="W44" s="96"/>
    </row>
    <row r="45" spans="1:37" x14ac:dyDescent="0.25">
      <c r="W45" s="96"/>
    </row>
    <row r="46" spans="1:37" x14ac:dyDescent="0.25">
      <c r="L46" s="98"/>
    </row>
    <row r="47" spans="1:37" x14ac:dyDescent="0.25">
      <c r="L47" s="98"/>
    </row>
    <row r="48" spans="1:37" x14ac:dyDescent="0.25">
      <c r="L48" s="98"/>
    </row>
    <row r="49" spans="12:12" x14ac:dyDescent="0.25">
      <c r="L49" s="98"/>
    </row>
  </sheetData>
  <sheetProtection algorithmName="SHA-512" hashValue="7wm8mFjypjwDpRiHQhC9jgA8fKpfVMV4v7AZ3nOEPFK5F87WUrQT0oQVWw4zouV+rQorLfBsXen9juDSLLRJaA==" saltValue="0QWrLJL0y5CwqKXJoBTAeA==" spinCount="100000" sheet="1" objects="1" scenarios="1" selectLockedCells="1" sort="0" autoFilter="0"/>
  <mergeCells count="44">
    <mergeCell ref="AD7:AG7"/>
    <mergeCell ref="AD6:AG6"/>
    <mergeCell ref="AD4:AH5"/>
    <mergeCell ref="AE1:AG1"/>
    <mergeCell ref="E2:F2"/>
    <mergeCell ref="E1:F1"/>
    <mergeCell ref="H2:I2"/>
    <mergeCell ref="H1:I1"/>
    <mergeCell ref="X3:Z3"/>
    <mergeCell ref="AA3:AB3"/>
    <mergeCell ref="AA2:AB2"/>
    <mergeCell ref="AA1:AB1"/>
    <mergeCell ref="X2:Z2"/>
    <mergeCell ref="X1:Z1"/>
    <mergeCell ref="AD9:AG9"/>
    <mergeCell ref="AD8:AG8"/>
    <mergeCell ref="R28:S28"/>
    <mergeCell ref="A1:B1"/>
    <mergeCell ref="A2:B2"/>
    <mergeCell ref="B28:C28"/>
    <mergeCell ref="D28:E28"/>
    <mergeCell ref="F28:G28"/>
    <mergeCell ref="A4:AB5"/>
    <mergeCell ref="H28:I28"/>
    <mergeCell ref="J28:K28"/>
    <mergeCell ref="L28:M28"/>
    <mergeCell ref="N28:O28"/>
    <mergeCell ref="P28:Q28"/>
    <mergeCell ref="A16:AB17"/>
    <mergeCell ref="L18:M18"/>
    <mergeCell ref="N18:O18"/>
    <mergeCell ref="P18:Q18"/>
    <mergeCell ref="R18:S18"/>
    <mergeCell ref="B18:C18"/>
    <mergeCell ref="D18:E18"/>
    <mergeCell ref="F18:G18"/>
    <mergeCell ref="H18:I18"/>
    <mergeCell ref="J18:K18"/>
    <mergeCell ref="U18:AB26"/>
    <mergeCell ref="AE10:AE11"/>
    <mergeCell ref="AD10:AD11"/>
    <mergeCell ref="AH10:AH11"/>
    <mergeCell ref="AG10:AG11"/>
    <mergeCell ref="AF10:AF11"/>
  </mergeCells>
  <conditionalFormatting sqref="C26 E26 G26 I26 K26 O26 Q26">
    <cfRule type="expression" dxfId="20" priority="27">
      <formula>INDIRECT(ADDRESS(ROW(),COLUMN()))&lt;DAY(End)</formula>
    </cfRule>
    <cfRule type="expression" dxfId="19" priority="28">
      <formula>INDIRECT(ADDRESS(ROW(),COLUMN()))&gt;DAY(End)</formula>
    </cfRule>
  </conditionalFormatting>
  <conditionalFormatting sqref="S26">
    <cfRule type="expression" dxfId="18" priority="25">
      <formula>INDIRECT(ADDRESS(ROW(),COLUMN()))&lt;DAY(End)*2</formula>
    </cfRule>
    <cfRule type="expression" dxfId="17" priority="26">
      <formula>INDIRECT(ADDRESS(ROW(),COLUMN()))&gt;DAY(End)*2</formula>
    </cfRule>
  </conditionalFormatting>
  <conditionalFormatting sqref="M26">
    <cfRule type="expression" dxfId="16" priority="23">
      <formula>INDIRECT(ADDRESS(ROW(),COLUMN()))&lt;DAY(End)*4</formula>
    </cfRule>
    <cfRule type="expression" dxfId="15" priority="24">
      <formula>INDIRECT(ADDRESS(ROW(),COLUMN()))&gt;DAY(End)*4</formula>
    </cfRule>
  </conditionalFormatting>
  <conditionalFormatting sqref="T26">
    <cfRule type="expression" dxfId="14" priority="10">
      <formula>INDIRECT(ADDRESS(ROW(),COLUMN()))=0</formula>
    </cfRule>
    <cfRule type="expression" dxfId="13" priority="20">
      <formula>INDIRECT(ADDRESS(ROW(),COLUMN()))=$AH$7</formula>
    </cfRule>
    <cfRule type="expression" dxfId="12" priority="21">
      <formula>INDIRECT(ADDRESS(ROW(),COLUMN()))&lt;$AH$7</formula>
    </cfRule>
    <cfRule type="expression" dxfId="11" priority="22">
      <formula>INDIRECT(ADDRESS(ROW(),COLUMN()))&gt;$AH$7</formula>
    </cfRule>
  </conditionalFormatting>
  <conditionalFormatting sqref="AA3">
    <cfRule type="expression" dxfId="10" priority="11">
      <formula>AND($AA$3&lt;&gt;"",OR($AA$1&lt;&gt;"",$AA$2&lt;&gt;""))</formula>
    </cfRule>
  </conditionalFormatting>
  <conditionalFormatting sqref="AA2">
    <cfRule type="expression" dxfId="9" priority="1">
      <formula>"AND(Unavailable!$A$2:$E$1048576="""",NOT(ISBLANK($AA$2)))"</formula>
    </cfRule>
  </conditionalFormatting>
  <dataValidations count="4">
    <dataValidation type="list" allowBlank="1" showInputMessage="1" showErrorMessage="1" sqref="A2:B2">
      <formula1>"January, February, March, April, May, June, July, August, September, October, November, December"</formula1>
    </dataValidation>
    <dataValidation type="whole" operator="greaterThan" allowBlank="1" showInputMessage="1" showErrorMessage="1" sqref="C2">
      <formula1>1775</formula1>
    </dataValidation>
    <dataValidation type="list" allowBlank="1" showInputMessage="1" showErrorMessage="1" sqref="D2 G2">
      <formula1>"1,2,3,4,5,6,7,8,9,10,11,12,13,14,15,16,17,18,19,20"</formula1>
    </dataValidation>
    <dataValidation type="list" allowBlank="1" showInputMessage="1" showErrorMessage="1" sqref="Q45:T45">
      <formula1>OFFSET(#REF!,0,0,COUNTIF(#REF!,"&lt;&gt;"))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8" r:id="rId4" name="Button_PrepForDuty">
              <controlPr defaultSize="0" print="0" autoFill="0" autoPict="0" macro="[0]!ApplyDutyFilter" altText="Filter AB Roster for Duty">
                <anchor moveWithCells="1" sizeWithCells="1">
                  <from>
                    <xdr:col>17</xdr:col>
                    <xdr:colOff>323850</xdr:colOff>
                    <xdr:row>0</xdr:row>
                    <xdr:rowOff>76200</xdr:rowOff>
                  </from>
                  <to>
                    <xdr:col>19</xdr:col>
                    <xdr:colOff>390525</xdr:colOff>
                    <xdr:row>2</xdr:row>
                    <xdr:rowOff>104775</xdr:rowOff>
                  </to>
                </anchor>
              </controlPr>
            </control>
          </mc:Choice>
        </mc:AlternateContent>
        <mc:AlternateContent xmlns:mc="http://schemas.openxmlformats.org/markup-compatibility/2006">
          <mc:Choice Requires="x14">
            <control shapeId="6149" r:id="rId5" name="Button_CustomFilter">
              <controlPr defaultSize="0" print="0" autoFill="0" autoPict="0" macro="[0]!Import_ME">
                <anchor moveWithCells="1" sizeWithCells="1">
                  <from>
                    <xdr:col>9</xdr:col>
                    <xdr:colOff>333375</xdr:colOff>
                    <xdr:row>0</xdr:row>
                    <xdr:rowOff>76200</xdr:rowOff>
                  </from>
                  <to>
                    <xdr:col>11</xdr:col>
                    <xdr:colOff>400050</xdr:colOff>
                    <xdr:row>2</xdr:row>
                    <xdr:rowOff>104775</xdr:rowOff>
                  </to>
                </anchor>
              </controlPr>
            </control>
          </mc:Choice>
        </mc:AlternateContent>
        <mc:AlternateContent xmlns:mc="http://schemas.openxmlformats.org/markup-compatibility/2006">
          <mc:Choice Requires="x14">
            <control shapeId="6177" r:id="rId6" name="Button 33">
              <controlPr defaultSize="0" print="0" autoFill="0" autoPict="0" macro="[0]!Import_MR">
                <anchor moveWithCells="1" sizeWithCells="1">
                  <from>
                    <xdr:col>14</xdr:col>
                    <xdr:colOff>495300</xdr:colOff>
                    <xdr:row>0</xdr:row>
                    <xdr:rowOff>76200</xdr:rowOff>
                  </from>
                  <to>
                    <xdr:col>17</xdr:col>
                    <xdr:colOff>47625</xdr:colOff>
                    <xdr:row>2</xdr:row>
                    <xdr:rowOff>104775</xdr:rowOff>
                  </to>
                </anchor>
              </controlPr>
            </control>
          </mc:Choice>
        </mc:AlternateContent>
        <mc:AlternateContent xmlns:mc="http://schemas.openxmlformats.org/markup-compatibility/2006">
          <mc:Choice Requires="x14">
            <control shapeId="6181" r:id="rId7" name="Button 37">
              <controlPr defaultSize="0" print="0" autoFill="0" autoPict="0" macro="[0]!Clear_Rosters">
                <anchor moveWithCells="1" sizeWithCells="1">
                  <from>
                    <xdr:col>20</xdr:col>
                    <xdr:colOff>152400</xdr:colOff>
                    <xdr:row>0</xdr:row>
                    <xdr:rowOff>76200</xdr:rowOff>
                  </from>
                  <to>
                    <xdr:col>22</xdr:col>
                    <xdr:colOff>190500</xdr:colOff>
                    <xdr:row>2</xdr:row>
                    <xdr:rowOff>104775</xdr:rowOff>
                  </to>
                </anchor>
              </controlPr>
            </control>
          </mc:Choice>
        </mc:AlternateContent>
        <mc:AlternateContent xmlns:mc="http://schemas.openxmlformats.org/markup-compatibility/2006">
          <mc:Choice Requires="x14">
            <control shapeId="6183" r:id="rId8" name="Button 39">
              <controlPr defaultSize="0" print="0" autoFill="0" autoPict="0" macro="[0]!CopyRecommededDuty">
                <anchor moveWithCells="1" sizeWithCells="1">
                  <from>
                    <xdr:col>29</xdr:col>
                    <xdr:colOff>66675</xdr:colOff>
                    <xdr:row>18</xdr:row>
                    <xdr:rowOff>66675</xdr:rowOff>
                  </from>
                  <to>
                    <xdr:col>31</xdr:col>
                    <xdr:colOff>133350</xdr:colOff>
                    <xdr:row>20</xdr:row>
                    <xdr:rowOff>95250</xdr:rowOff>
                  </to>
                </anchor>
              </controlPr>
            </control>
          </mc:Choice>
        </mc:AlternateContent>
        <mc:AlternateContent xmlns:mc="http://schemas.openxmlformats.org/markup-compatibility/2006">
          <mc:Choice Requires="x14">
            <control shapeId="6184" r:id="rId9" name="Button 40">
              <controlPr defaultSize="0" print="0" autoFill="0" autoPict="0" macro="[0]!CreateDutyRoster">
                <anchor moveWithCells="1" sizeWithCells="1">
                  <from>
                    <xdr:col>31</xdr:col>
                    <xdr:colOff>381000</xdr:colOff>
                    <xdr:row>18</xdr:row>
                    <xdr:rowOff>66675</xdr:rowOff>
                  </from>
                  <to>
                    <xdr:col>33</xdr:col>
                    <xdr:colOff>447675</xdr:colOff>
                    <xdr:row>20</xdr:row>
                    <xdr:rowOff>95250</xdr:rowOff>
                  </to>
                </anchor>
              </controlPr>
            </control>
          </mc:Choice>
        </mc:AlternateContent>
        <mc:AlternateContent xmlns:mc="http://schemas.openxmlformats.org/markup-compatibility/2006">
          <mc:Choice Requires="x14">
            <control shapeId="6187" r:id="rId10" name="Button 43">
              <controlPr defaultSize="0" print="0" autoFill="0" autoPict="0" macro="[0]!Import_NA">
                <anchor moveWithCells="1" sizeWithCells="1">
                  <from>
                    <xdr:col>12</xdr:col>
                    <xdr:colOff>152400</xdr:colOff>
                    <xdr:row>0</xdr:row>
                    <xdr:rowOff>76200</xdr:rowOff>
                  </from>
                  <to>
                    <xdr:col>14</xdr:col>
                    <xdr:colOff>219075</xdr:colOff>
                    <xdr:row>2</xdr:row>
                    <xdr:rowOff>104775</xdr:rowOff>
                  </to>
                </anchor>
              </controlPr>
            </control>
          </mc:Choice>
        </mc:AlternateContent>
        <mc:AlternateContent xmlns:mc="http://schemas.openxmlformats.org/markup-compatibility/2006">
          <mc:Choice Requires="x14">
            <control shapeId="6189" r:id="rId11" name="Button 45">
              <controlPr defaultSize="0" print="0" autoFill="0" autoPict="0" macro="[0]!_xludf.Split">
                <anchor moveWithCells="1" sizeWithCells="1">
                  <from>
                    <xdr:col>29</xdr:col>
                    <xdr:colOff>76200</xdr:colOff>
                    <xdr:row>21</xdr:row>
                    <xdr:rowOff>19050</xdr:rowOff>
                  </from>
                  <to>
                    <xdr:col>31</xdr:col>
                    <xdr:colOff>142875</xdr:colOff>
                    <xdr:row>24</xdr:row>
                    <xdr:rowOff>19050</xdr:rowOff>
                  </to>
                </anchor>
              </controlPr>
            </control>
          </mc:Choice>
        </mc:AlternateContent>
        <mc:AlternateContent xmlns:mc="http://schemas.openxmlformats.org/markup-compatibility/2006">
          <mc:Choice Requires="x14">
            <control shapeId="6190" r:id="rId12" name="Button 46">
              <controlPr defaultSize="0" print="0" autoFill="0" autoPict="0" macro="[0]!Merge">
                <anchor moveWithCells="1" sizeWithCells="1">
                  <from>
                    <xdr:col>31</xdr:col>
                    <xdr:colOff>390525</xdr:colOff>
                    <xdr:row>21</xdr:row>
                    <xdr:rowOff>19050</xdr:rowOff>
                  </from>
                  <to>
                    <xdr:col>33</xdr:col>
                    <xdr:colOff>457200</xdr:colOff>
                    <xdr:row>24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5FA0FBD6-4868-4839-B677-E5F41759D069}">
            <xm:f>AND(Medical!$A$2:$E$1048576="",NOT(ISBLANK($AA$1)))</xm:f>
            <x14:dxf>
              <fill>
                <patternFill>
                  <bgColor rgb="FFFFC000"/>
                </patternFill>
              </fill>
            </x14:dxf>
          </x14:cfRule>
          <x14:cfRule type="expression" priority="14" id="{6A865A14-B09D-4868-8B4A-5A53BCE5AFA1}">
            <xm:f>Medical!$A$2:$E$1048576&lt;&gt;""</xm:f>
            <x14:dxf>
              <fill>
                <patternFill>
                  <bgColor rgb="FF33CC33"/>
                </patternFill>
              </fill>
            </x14:dxf>
          </x14:cfRule>
          <x14:cfRule type="expression" priority="15" id="{5050381D-755D-48BC-98E3-D0BB72F8E858}">
            <xm:f>Medical!$A$2:$E$1048576=""</xm:f>
            <x14:dxf>
              <fill>
                <patternFill>
                  <bgColor rgb="FFFF0000"/>
                </patternFill>
              </fill>
            </x14:dxf>
          </x14:cfRule>
          <xm:sqref>AA1</xm:sqref>
        </x14:conditionalFormatting>
        <x14:conditionalFormatting xmlns:xm="http://schemas.microsoft.com/office/excel/2006/main">
          <x14:cfRule type="expression" priority="16" id="{16044471-D3E9-41BF-8087-6BECDE8342DC}">
            <xm:f>Unavailable!$A$2:$E$1048576&lt;&gt;""</xm:f>
            <x14:dxf>
              <fill>
                <patternFill>
                  <bgColor rgb="FF33CC33"/>
                </patternFill>
              </fill>
            </x14:dxf>
          </x14:cfRule>
          <x14:cfRule type="expression" priority="19" id="{35EC8112-30AE-40AE-8EAB-137CE811C05A}">
            <xm:f>Unavailable!$A$2:$E$1048576=""</xm:f>
            <x14:dxf>
              <fill>
                <patternFill>
                  <bgColor rgb="FFFF0000"/>
                </patternFill>
              </fill>
            </x14:dxf>
          </x14:cfRule>
          <xm:sqref>AA2</xm:sqref>
        </x14:conditionalFormatting>
        <x14:conditionalFormatting xmlns:xm="http://schemas.microsoft.com/office/excel/2006/main">
          <x14:cfRule type="expression" priority="12" id="{91EA918B-B77B-4CC8-A24E-7AF17959CED5}">
            <xm:f>'Available Bodies'!$A$2:$K$1048576&lt;&gt;""</xm:f>
            <x14:dxf>
              <fill>
                <patternFill>
                  <bgColor rgb="FF33CC33"/>
                </patternFill>
              </fill>
            </x14:dxf>
          </x14:cfRule>
          <x14:cfRule type="expression" priority="13" id="{904E597A-46C6-41A3-A696-A5217098D37A}">
            <xm:f>'Available Bodies'!$A$2:$K$1048576=""</xm:f>
            <x14:dxf>
              <fill>
                <patternFill>
                  <bgColor rgb="FFFF0000"/>
                </patternFill>
              </fill>
            </x14:dxf>
          </x14:cfRule>
          <xm:sqref>AA3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
  <sheetViews>
    <sheetView workbookViewId="0">
      <selection activeCell="A2" sqref="A2"/>
    </sheetView>
  </sheetViews>
  <sheetFormatPr defaultRowHeight="15" x14ac:dyDescent="0.25"/>
  <cols>
    <col min="1" max="1" width="9.85546875" bestFit="1" customWidth="1"/>
    <col min="2" max="2" width="34.42578125" bestFit="1" customWidth="1"/>
    <col min="3" max="3" width="11" bestFit="1" customWidth="1"/>
    <col min="4" max="4" width="8.7109375" bestFit="1" customWidth="1"/>
    <col min="5" max="5" width="19.42578125" bestFit="1" customWidth="1"/>
    <col min="6" max="6" width="13.85546875" bestFit="1" customWidth="1"/>
    <col min="7" max="7" width="12.42578125" bestFit="1" customWidth="1"/>
    <col min="8" max="8" width="13.42578125" bestFit="1" customWidth="1"/>
    <col min="9" max="9" width="28.5703125" bestFit="1" customWidth="1"/>
    <col min="10" max="10" width="14.28515625" style="113" bestFit="1" customWidth="1"/>
    <col min="11" max="11" width="13.42578125" style="113" bestFit="1" customWidth="1"/>
  </cols>
  <sheetData>
    <row r="1" spans="1:11" s="2" customFormat="1" ht="15.75" thickBot="1" x14ac:dyDescent="0.3">
      <c r="A1" s="1" t="s">
        <v>0</v>
      </c>
      <c r="B1" s="1" t="s">
        <v>58</v>
      </c>
      <c r="C1" s="1" t="s">
        <v>1</v>
      </c>
      <c r="D1" s="1" t="s">
        <v>59</v>
      </c>
      <c r="E1" s="1" t="s">
        <v>60</v>
      </c>
      <c r="F1" s="1" t="s">
        <v>63</v>
      </c>
      <c r="G1" s="1" t="s">
        <v>64</v>
      </c>
      <c r="H1" s="1" t="s">
        <v>2</v>
      </c>
      <c r="I1" s="1" t="s">
        <v>3</v>
      </c>
      <c r="J1" s="1" t="s">
        <v>61</v>
      </c>
      <c r="K1" s="1" t="s">
        <v>62</v>
      </c>
    </row>
  </sheetData>
  <sheetProtection algorithmName="SHA-512" hashValue="+LoR/V/eMyaOkhd9D//M4yUVJdUrfMCQJ2uEGoqbvFJRCtguww41bSKNNcdaF/PtZRIkD9iod+Qr+Slzo84iCg==" saltValue="P1VJKcysEM+OYYArYRVgDg==" spinCount="100000" sheet="1" objects="1" scenarios="1" selectLockedCells="1" sort="0" autoFilter="0"/>
  <autoFilter ref="A1:K154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1"/>
  <sheetViews>
    <sheetView workbookViewId="0">
      <selection activeCell="E2" sqref="E2:F18"/>
    </sheetView>
  </sheetViews>
  <sheetFormatPr defaultRowHeight="15" x14ac:dyDescent="0.25"/>
  <cols>
    <col min="1" max="1" width="7.7109375" customWidth="1"/>
    <col min="2" max="3" width="12.7109375" customWidth="1"/>
    <col min="4" max="4" width="17.7109375" bestFit="1" customWidth="1"/>
    <col min="5" max="6" width="12.7109375" style="113" customWidth="1"/>
  </cols>
  <sheetData>
    <row r="1" spans="1:6" s="2" customFormat="1" ht="15.75" thickBot="1" x14ac:dyDescent="0.3">
      <c r="A1" s="1" t="s">
        <v>0</v>
      </c>
      <c r="B1" s="1" t="s">
        <v>1</v>
      </c>
      <c r="C1" s="1" t="s">
        <v>2</v>
      </c>
      <c r="D1" s="1" t="s">
        <v>3</v>
      </c>
      <c r="E1" s="1" t="s">
        <v>66</v>
      </c>
      <c r="F1" s="1" t="s">
        <v>62</v>
      </c>
    </row>
  </sheetData>
  <sheetProtection algorithmName="SHA-512" hashValue="lc/nXaLAuYJG/Cxbd7x+2SysPsyr2QPvLA5E4tAbcl4o19PcZ+4qJuR888+O4TE3cSW7J2Fwx+SHa/4WkWXpwQ==" saltValue="R5fWjtUtxUezJCZ+qFXu6g==" spinCount="100000" sheet="1" objects="1" scenarios="1" sort="0" autoFilter="0"/>
  <autoFilter ref="A1:F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1"/>
  <sheetViews>
    <sheetView workbookViewId="0">
      <selection activeCell="A2" sqref="A2"/>
    </sheetView>
  </sheetViews>
  <sheetFormatPr defaultRowHeight="15" x14ac:dyDescent="0.25"/>
  <cols>
    <col min="1" max="1" width="7.7109375" customWidth="1"/>
    <col min="2" max="4" width="12.7109375" customWidth="1"/>
    <col min="5" max="5" width="12.7109375" style="113" customWidth="1"/>
    <col min="6" max="6" width="9.140625" style="113"/>
  </cols>
  <sheetData>
    <row r="1" spans="1:5" s="2" customFormat="1" ht="15.75" thickBot="1" x14ac:dyDescent="0.3">
      <c r="A1" s="1" t="s">
        <v>0</v>
      </c>
      <c r="B1" s="1" t="s">
        <v>1</v>
      </c>
      <c r="C1" s="1" t="s">
        <v>3</v>
      </c>
      <c r="D1" s="1" t="s">
        <v>66</v>
      </c>
      <c r="E1" s="1" t="s">
        <v>62</v>
      </c>
    </row>
  </sheetData>
  <sheetProtection algorithmName="SHA-512" hashValue="ecwbgDHoQ9ToHSqxlqdlB2yOEg+0l7szdNuqPt4JfZPD/V4tv5WQGBpdQpG5BKR0BrMvTgJ7bwguEIqRSsuKhw==" saltValue="UCElNgzIMBJBMGxqzCTqnw==" spinCount="100000" sheet="1" objects="1" scenarios="1" sort="0" autoFilter="0"/>
  <autoFilter ref="A1:E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68"/>
  <sheetViews>
    <sheetView workbookViewId="0">
      <selection activeCell="A2" sqref="A2"/>
    </sheetView>
  </sheetViews>
  <sheetFormatPr defaultRowHeight="15" x14ac:dyDescent="0.25"/>
  <cols>
    <col min="1" max="10" width="15.7109375" style="127" customWidth="1"/>
    <col min="11" max="11" width="9.140625" style="127"/>
    <col min="12" max="17" width="12.5703125" style="127" customWidth="1"/>
    <col min="18" max="16384" width="9.140625" style="127"/>
  </cols>
  <sheetData>
    <row r="1" spans="1:17" ht="30.75" thickBot="1" x14ac:dyDescent="0.3">
      <c r="A1" s="120" t="s">
        <v>84</v>
      </c>
      <c r="B1" s="128" t="s">
        <v>111</v>
      </c>
      <c r="C1" s="121" t="s">
        <v>88</v>
      </c>
      <c r="D1" s="145" t="s">
        <v>85</v>
      </c>
      <c r="E1" s="150" t="s">
        <v>118</v>
      </c>
      <c r="F1" s="272" t="s">
        <v>98</v>
      </c>
      <c r="G1" s="273"/>
      <c r="H1" s="274"/>
      <c r="J1" s="150" t="s">
        <v>116</v>
      </c>
      <c r="L1" s="277" t="s">
        <v>99</v>
      </c>
      <c r="M1" s="278"/>
      <c r="N1" s="278"/>
      <c r="O1" s="278"/>
      <c r="P1" s="278"/>
      <c r="Q1" s="279"/>
    </row>
    <row r="2" spans="1:17" ht="15.75" thickBot="1" x14ac:dyDescent="0.3">
      <c r="A2" s="122" t="s">
        <v>31</v>
      </c>
      <c r="B2" s="122" t="s">
        <v>76</v>
      </c>
      <c r="C2" s="161" t="s">
        <v>76</v>
      </c>
      <c r="D2" s="166" t="s">
        <v>36</v>
      </c>
      <c r="E2" s="133">
        <v>1</v>
      </c>
      <c r="F2" s="164" t="s">
        <v>90</v>
      </c>
      <c r="G2" s="302" t="s">
        <v>96</v>
      </c>
      <c r="H2" s="303"/>
      <c r="J2" s="151" t="s">
        <v>7</v>
      </c>
      <c r="L2" s="280" t="s">
        <v>100</v>
      </c>
      <c r="M2" s="281"/>
      <c r="N2" s="281"/>
      <c r="O2" s="281"/>
      <c r="P2" s="281"/>
      <c r="Q2" s="282"/>
    </row>
    <row r="3" spans="1:17" ht="15.75" thickBot="1" x14ac:dyDescent="0.3">
      <c r="A3" s="123" t="s">
        <v>43</v>
      </c>
      <c r="B3" s="123" t="s">
        <v>75</v>
      </c>
      <c r="C3" s="162" t="s">
        <v>75</v>
      </c>
      <c r="D3" s="167" t="s">
        <v>37</v>
      </c>
      <c r="E3" s="136">
        <v>1</v>
      </c>
      <c r="F3" s="164" t="s">
        <v>91</v>
      </c>
      <c r="G3" s="300" t="s">
        <v>97</v>
      </c>
      <c r="H3" s="301"/>
      <c r="J3" s="152" t="s">
        <v>4</v>
      </c>
      <c r="L3" s="283"/>
      <c r="M3" s="284"/>
      <c r="N3" s="284"/>
      <c r="O3" s="284"/>
      <c r="P3" s="284"/>
      <c r="Q3" s="285"/>
    </row>
    <row r="4" spans="1:17" ht="15.75" thickBot="1" x14ac:dyDescent="0.3">
      <c r="A4" s="123" t="s">
        <v>32</v>
      </c>
      <c r="B4" s="123" t="s">
        <v>74</v>
      </c>
      <c r="C4" s="162" t="s">
        <v>74</v>
      </c>
      <c r="D4" s="167" t="s">
        <v>38</v>
      </c>
      <c r="E4" s="136">
        <v>1</v>
      </c>
      <c r="F4" s="164" t="s">
        <v>92</v>
      </c>
      <c r="G4" s="300" t="s">
        <v>94</v>
      </c>
      <c r="H4" s="301"/>
      <c r="J4" s="152" t="s">
        <v>8</v>
      </c>
      <c r="L4" s="286"/>
      <c r="M4" s="287"/>
      <c r="N4" s="287"/>
      <c r="O4" s="287"/>
      <c r="P4" s="287"/>
      <c r="Q4" s="288"/>
    </row>
    <row r="5" spans="1:17" ht="15.75" thickBot="1" x14ac:dyDescent="0.3">
      <c r="A5" s="123" t="s">
        <v>33</v>
      </c>
      <c r="B5" s="123" t="s">
        <v>77</v>
      </c>
      <c r="C5" s="162" t="s">
        <v>77</v>
      </c>
      <c r="D5" s="167" t="s">
        <v>39</v>
      </c>
      <c r="E5" s="136">
        <v>1</v>
      </c>
      <c r="F5" s="164" t="s">
        <v>93</v>
      </c>
      <c r="G5" s="298" t="s">
        <v>95</v>
      </c>
      <c r="H5" s="299"/>
      <c r="J5" s="152" t="s">
        <v>9</v>
      </c>
    </row>
    <row r="6" spans="1:17" ht="15.75" thickBot="1" x14ac:dyDescent="0.3">
      <c r="A6" s="123" t="s">
        <v>34</v>
      </c>
      <c r="B6" s="123" t="s">
        <v>109</v>
      </c>
      <c r="C6" s="162" t="s">
        <v>34</v>
      </c>
      <c r="D6" s="167" t="s">
        <v>40</v>
      </c>
      <c r="E6" s="136">
        <v>1</v>
      </c>
      <c r="J6" s="152" t="s">
        <v>10</v>
      </c>
      <c r="L6" s="289" t="s">
        <v>101</v>
      </c>
      <c r="M6" s="290"/>
      <c r="N6" s="290"/>
      <c r="O6" s="290"/>
      <c r="P6" s="290"/>
      <c r="Q6" s="291"/>
    </row>
    <row r="7" spans="1:17" ht="15.75" thickBot="1" x14ac:dyDescent="0.3">
      <c r="A7" s="123" t="s">
        <v>42</v>
      </c>
      <c r="B7" s="123" t="s">
        <v>108</v>
      </c>
      <c r="C7" s="162" t="s">
        <v>42</v>
      </c>
      <c r="D7" s="167" t="s">
        <v>41</v>
      </c>
      <c r="E7" s="136">
        <v>4</v>
      </c>
      <c r="H7" s="185" t="s">
        <v>86</v>
      </c>
      <c r="J7" s="152" t="s">
        <v>11</v>
      </c>
      <c r="L7" s="292" t="s">
        <v>102</v>
      </c>
      <c r="M7" s="293"/>
      <c r="N7" s="293"/>
      <c r="O7" s="293"/>
      <c r="P7" s="293"/>
      <c r="Q7" s="294"/>
    </row>
    <row r="8" spans="1:17" ht="15.75" thickBot="1" x14ac:dyDescent="0.3">
      <c r="A8" s="124" t="s">
        <v>35</v>
      </c>
      <c r="B8" s="124" t="s">
        <v>110</v>
      </c>
      <c r="C8" s="163" t="s">
        <v>35</v>
      </c>
      <c r="D8" s="167" t="s">
        <v>80</v>
      </c>
      <c r="E8" s="136">
        <v>1</v>
      </c>
      <c r="H8" s="169" t="s">
        <v>87</v>
      </c>
      <c r="J8" s="152" t="s">
        <v>12</v>
      </c>
      <c r="L8" s="292"/>
      <c r="M8" s="293"/>
      <c r="N8" s="293"/>
      <c r="O8" s="293"/>
      <c r="P8" s="293"/>
      <c r="Q8" s="294"/>
    </row>
    <row r="9" spans="1:17" ht="15" customHeight="1" x14ac:dyDescent="0.25">
      <c r="A9" s="126"/>
      <c r="B9" s="126"/>
      <c r="D9" s="167" t="s">
        <v>81</v>
      </c>
      <c r="E9" s="136">
        <v>1</v>
      </c>
      <c r="J9" s="152" t="s">
        <v>13</v>
      </c>
      <c r="L9" s="292"/>
      <c r="M9" s="293"/>
      <c r="N9" s="293"/>
      <c r="O9" s="293"/>
      <c r="P9" s="293"/>
      <c r="Q9" s="294"/>
    </row>
    <row r="10" spans="1:17" ht="15.75" thickBot="1" x14ac:dyDescent="0.3">
      <c r="A10" s="126"/>
      <c r="B10" s="126"/>
      <c r="D10" s="168" t="s">
        <v>82</v>
      </c>
      <c r="E10" s="139">
        <v>2</v>
      </c>
      <c r="J10" s="152" t="s">
        <v>27</v>
      </c>
      <c r="L10" s="292"/>
      <c r="M10" s="293"/>
      <c r="N10" s="293"/>
      <c r="O10" s="293"/>
      <c r="P10" s="293"/>
      <c r="Q10" s="294"/>
    </row>
    <row r="11" spans="1:17" ht="15.75" thickBot="1" x14ac:dyDescent="0.3">
      <c r="A11" s="126"/>
      <c r="B11" s="126"/>
      <c r="D11" s="120" t="s">
        <v>119</v>
      </c>
      <c r="E11" s="165">
        <f>SUM(E2:E10)</f>
        <v>13</v>
      </c>
      <c r="J11" s="152" t="s">
        <v>14</v>
      </c>
      <c r="L11" s="292"/>
      <c r="M11" s="293"/>
      <c r="N11" s="293"/>
      <c r="O11" s="293"/>
      <c r="P11" s="293"/>
      <c r="Q11" s="294"/>
    </row>
    <row r="12" spans="1:17" x14ac:dyDescent="0.25">
      <c r="J12" s="152" t="s">
        <v>15</v>
      </c>
      <c r="L12" s="292"/>
      <c r="M12" s="293"/>
      <c r="N12" s="293"/>
      <c r="O12" s="293"/>
      <c r="P12" s="293"/>
      <c r="Q12" s="294"/>
    </row>
    <row r="13" spans="1:17" ht="15.75" thickBot="1" x14ac:dyDescent="0.3">
      <c r="J13" s="152" t="s">
        <v>16</v>
      </c>
      <c r="L13" s="292"/>
      <c r="M13" s="293"/>
      <c r="N13" s="293"/>
      <c r="O13" s="293"/>
      <c r="P13" s="293"/>
      <c r="Q13" s="294"/>
    </row>
    <row r="14" spans="1:17" ht="15.75" customHeight="1" thickBot="1" x14ac:dyDescent="0.3">
      <c r="A14" s="304" t="s">
        <v>114</v>
      </c>
      <c r="B14" s="305"/>
      <c r="C14" s="305"/>
      <c r="D14" s="305"/>
      <c r="E14" s="305"/>
      <c r="F14" s="305"/>
      <c r="G14" s="305"/>
      <c r="H14" s="306"/>
      <c r="J14" s="152" t="s">
        <v>6</v>
      </c>
      <c r="L14" s="292"/>
      <c r="M14" s="293"/>
      <c r="N14" s="293"/>
      <c r="O14" s="293"/>
      <c r="P14" s="293"/>
      <c r="Q14" s="294"/>
    </row>
    <row r="15" spans="1:17" ht="15.75" thickBot="1" x14ac:dyDescent="0.3">
      <c r="A15" s="130"/>
      <c r="B15" s="141" t="str">
        <f>IF(A2="","Unused",A2)</f>
        <v>Alpha</v>
      </c>
      <c r="C15" s="141" t="str">
        <f>IF(A3="","Unused",A3)</f>
        <v>Bravo</v>
      </c>
      <c r="D15" s="141" t="str">
        <f>IF(A4="","Unused",A4)</f>
        <v>Charlie</v>
      </c>
      <c r="E15" s="141" t="str">
        <f>IF(A5="","Unused",A5)</f>
        <v>Delta</v>
      </c>
      <c r="F15" s="141" t="str">
        <f>IF(A6="","Unused",A6)</f>
        <v>GS</v>
      </c>
      <c r="G15" s="146" t="str">
        <f>IF(A7="","Unused",A7)</f>
        <v>HQ</v>
      </c>
      <c r="H15" s="142" t="str">
        <f>IF(A8="","Unused",A8)</f>
        <v>SVC</v>
      </c>
      <c r="J15" s="152" t="s">
        <v>5</v>
      </c>
      <c r="L15" s="292"/>
      <c r="M15" s="293"/>
      <c r="N15" s="293"/>
      <c r="O15" s="293"/>
      <c r="P15" s="293"/>
      <c r="Q15" s="294"/>
    </row>
    <row r="16" spans="1:17" ht="15.75" thickBot="1" x14ac:dyDescent="0.3">
      <c r="A16" s="140" t="str">
        <f>IF(D2="","Unused",D2)</f>
        <v>OOD</v>
      </c>
      <c r="B16" s="131" t="b">
        <v>1</v>
      </c>
      <c r="C16" s="132" t="b">
        <v>1</v>
      </c>
      <c r="D16" s="132" t="b">
        <v>1</v>
      </c>
      <c r="E16" s="132" t="b">
        <v>1</v>
      </c>
      <c r="F16" s="132" t="b">
        <v>1</v>
      </c>
      <c r="G16" s="147" t="b">
        <v>1</v>
      </c>
      <c r="H16" s="151" t="b">
        <v>1</v>
      </c>
      <c r="J16" s="152" t="s">
        <v>17</v>
      </c>
      <c r="L16" s="292"/>
      <c r="M16" s="293"/>
      <c r="N16" s="293"/>
      <c r="O16" s="293"/>
      <c r="P16" s="293"/>
      <c r="Q16" s="294"/>
    </row>
    <row r="17" spans="1:17" ht="15.75" thickBot="1" x14ac:dyDescent="0.3">
      <c r="A17" s="140" t="str">
        <f t="shared" ref="A17:A24" si="0">IF(D3="","Unused",D3)</f>
        <v>AOOD</v>
      </c>
      <c r="B17" s="134" t="b">
        <v>1</v>
      </c>
      <c r="C17" s="135" t="b">
        <v>1</v>
      </c>
      <c r="D17" s="135" t="b">
        <v>1</v>
      </c>
      <c r="E17" s="135" t="b">
        <v>1</v>
      </c>
      <c r="F17" s="135" t="b">
        <v>1</v>
      </c>
      <c r="G17" s="148" t="b">
        <v>1</v>
      </c>
      <c r="H17" s="152" t="b">
        <v>1</v>
      </c>
      <c r="J17" s="152" t="s">
        <v>18</v>
      </c>
      <c r="L17" s="292"/>
      <c r="M17" s="293"/>
      <c r="N17" s="293"/>
      <c r="O17" s="293"/>
      <c r="P17" s="293"/>
      <c r="Q17" s="294"/>
    </row>
    <row r="18" spans="1:17" ht="15.75" thickBot="1" x14ac:dyDescent="0.3">
      <c r="A18" s="140" t="str">
        <f t="shared" si="0"/>
        <v>Duty Driver</v>
      </c>
      <c r="B18" s="134" t="b">
        <v>1</v>
      </c>
      <c r="C18" s="135" t="b">
        <v>1</v>
      </c>
      <c r="D18" s="135" t="b">
        <v>1</v>
      </c>
      <c r="E18" s="135" t="b">
        <v>1</v>
      </c>
      <c r="F18" s="135" t="b">
        <v>1</v>
      </c>
      <c r="G18" s="148" t="b">
        <v>1</v>
      </c>
      <c r="H18" s="152" t="b">
        <v>1</v>
      </c>
      <c r="J18" s="152" t="s">
        <v>19</v>
      </c>
      <c r="L18" s="292"/>
      <c r="M18" s="293"/>
      <c r="N18" s="293"/>
      <c r="O18" s="293"/>
      <c r="P18" s="293"/>
      <c r="Q18" s="294"/>
    </row>
    <row r="19" spans="1:17" ht="15.75" thickBot="1" x14ac:dyDescent="0.3">
      <c r="A19" s="140" t="str">
        <f t="shared" si="0"/>
        <v>DNCO (FC-370)</v>
      </c>
      <c r="B19" s="134" t="b">
        <v>1</v>
      </c>
      <c r="C19" s="135" t="b">
        <v>0</v>
      </c>
      <c r="D19" s="135" t="b">
        <v>0</v>
      </c>
      <c r="E19" s="135" t="b">
        <v>0</v>
      </c>
      <c r="F19" s="135" t="b">
        <v>1</v>
      </c>
      <c r="G19" s="148" t="b">
        <v>1</v>
      </c>
      <c r="H19" s="152" t="b">
        <v>1</v>
      </c>
      <c r="J19" s="152" t="s">
        <v>20</v>
      </c>
      <c r="L19" s="292"/>
      <c r="M19" s="293"/>
      <c r="N19" s="293"/>
      <c r="O19" s="293"/>
      <c r="P19" s="293"/>
      <c r="Q19" s="294"/>
    </row>
    <row r="20" spans="1:17" ht="15.75" thickBot="1" x14ac:dyDescent="0.3">
      <c r="A20" s="140" t="str">
        <f t="shared" si="0"/>
        <v>ADNCO (FC-370)</v>
      </c>
      <c r="B20" s="134" t="b">
        <v>1</v>
      </c>
      <c r="C20" s="135" t="b">
        <v>0</v>
      </c>
      <c r="D20" s="135" t="b">
        <v>0</v>
      </c>
      <c r="E20" s="135" t="b">
        <v>0</v>
      </c>
      <c r="F20" s="135" t="b">
        <v>1</v>
      </c>
      <c r="G20" s="148" t="b">
        <v>1</v>
      </c>
      <c r="H20" s="152" t="b">
        <v>1</v>
      </c>
      <c r="J20" s="152" t="s">
        <v>21</v>
      </c>
      <c r="L20" s="292"/>
      <c r="M20" s="293"/>
      <c r="N20" s="293"/>
      <c r="O20" s="293"/>
      <c r="P20" s="293"/>
      <c r="Q20" s="294"/>
    </row>
    <row r="21" spans="1:17" ht="15.75" thickBot="1" x14ac:dyDescent="0.3">
      <c r="A21" s="140" t="str">
        <f t="shared" si="0"/>
        <v>Rovers (FC-370)</v>
      </c>
      <c r="B21" s="134" t="b">
        <v>1</v>
      </c>
      <c r="C21" s="135" t="b">
        <v>0</v>
      </c>
      <c r="D21" s="135" t="b">
        <v>0</v>
      </c>
      <c r="E21" s="135" t="b">
        <v>0</v>
      </c>
      <c r="F21" s="135" t="b">
        <v>1</v>
      </c>
      <c r="G21" s="148" t="b">
        <v>1</v>
      </c>
      <c r="H21" s="152" t="b">
        <v>1</v>
      </c>
      <c r="J21" s="152" t="s">
        <v>22</v>
      </c>
      <c r="L21" s="292"/>
      <c r="M21" s="293"/>
      <c r="N21" s="293"/>
      <c r="O21" s="293"/>
      <c r="P21" s="293"/>
      <c r="Q21" s="294"/>
    </row>
    <row r="22" spans="1:17" ht="15.75" thickBot="1" x14ac:dyDescent="0.3">
      <c r="A22" s="140" t="str">
        <f t="shared" si="0"/>
        <v>DNCO (FC-481)</v>
      </c>
      <c r="B22" s="134" t="b">
        <v>0</v>
      </c>
      <c r="C22" s="135" t="b">
        <v>1</v>
      </c>
      <c r="D22" s="135" t="b">
        <v>1</v>
      </c>
      <c r="E22" s="135" t="b">
        <v>0</v>
      </c>
      <c r="F22" s="135" t="b">
        <v>0</v>
      </c>
      <c r="G22" s="148" t="b">
        <v>0</v>
      </c>
      <c r="H22" s="152" t="b">
        <v>0</v>
      </c>
      <c r="J22" s="152" t="s">
        <v>23</v>
      </c>
      <c r="L22" s="292"/>
      <c r="M22" s="293"/>
      <c r="N22" s="293"/>
      <c r="O22" s="293"/>
      <c r="P22" s="293"/>
      <c r="Q22" s="294"/>
    </row>
    <row r="23" spans="1:17" ht="15.75" thickBot="1" x14ac:dyDescent="0.3">
      <c r="A23" s="140" t="str">
        <f t="shared" si="0"/>
        <v>ADNCO (FC-481)</v>
      </c>
      <c r="B23" s="134" t="b">
        <v>0</v>
      </c>
      <c r="C23" s="135" t="b">
        <v>1</v>
      </c>
      <c r="D23" s="135" t="b">
        <v>1</v>
      </c>
      <c r="E23" s="135" t="b">
        <v>0</v>
      </c>
      <c r="F23" s="135" t="b">
        <v>0</v>
      </c>
      <c r="G23" s="148" t="b">
        <v>0</v>
      </c>
      <c r="H23" s="152" t="b">
        <v>0</v>
      </c>
      <c r="J23" s="152" t="s">
        <v>24</v>
      </c>
      <c r="L23" s="292"/>
      <c r="M23" s="293"/>
      <c r="N23" s="293"/>
      <c r="O23" s="293"/>
      <c r="P23" s="293"/>
      <c r="Q23" s="294"/>
    </row>
    <row r="24" spans="1:17" ht="15.75" thickBot="1" x14ac:dyDescent="0.3">
      <c r="A24" s="142" t="str">
        <f t="shared" si="0"/>
        <v>Rovers (FC-481)</v>
      </c>
      <c r="B24" s="137" t="b">
        <v>0</v>
      </c>
      <c r="C24" s="138" t="b">
        <v>1</v>
      </c>
      <c r="D24" s="138" t="b">
        <v>1</v>
      </c>
      <c r="E24" s="138" t="b">
        <v>0</v>
      </c>
      <c r="F24" s="138" t="b">
        <v>0</v>
      </c>
      <c r="G24" s="149" t="b">
        <v>0</v>
      </c>
      <c r="H24" s="153" t="b">
        <v>0</v>
      </c>
      <c r="J24" s="152" t="s">
        <v>112</v>
      </c>
      <c r="L24" s="292"/>
      <c r="M24" s="293"/>
      <c r="N24" s="293"/>
      <c r="O24" s="293"/>
      <c r="P24" s="293"/>
      <c r="Q24" s="294"/>
    </row>
    <row r="25" spans="1:17" ht="15.75" thickBot="1" x14ac:dyDescent="0.3">
      <c r="A25" s="129"/>
      <c r="J25" s="152" t="s">
        <v>113</v>
      </c>
      <c r="L25" s="292"/>
      <c r="M25" s="293"/>
      <c r="N25" s="293"/>
      <c r="O25" s="293"/>
      <c r="P25" s="293"/>
      <c r="Q25" s="294"/>
    </row>
    <row r="26" spans="1:17" ht="15.75" thickBot="1" x14ac:dyDescent="0.3">
      <c r="A26" s="307" t="s">
        <v>115</v>
      </c>
      <c r="B26" s="308"/>
      <c r="C26" s="308"/>
      <c r="D26" s="308"/>
      <c r="E26" s="308"/>
      <c r="F26" s="308"/>
      <c r="G26" s="308"/>
      <c r="H26" s="308"/>
      <c r="I26" s="309"/>
      <c r="J26" s="152" t="s">
        <v>25</v>
      </c>
      <c r="L26" s="292"/>
      <c r="M26" s="293"/>
      <c r="N26" s="293"/>
      <c r="O26" s="293"/>
      <c r="P26" s="293"/>
      <c r="Q26" s="294"/>
    </row>
    <row r="27" spans="1:17" ht="15.75" thickBot="1" x14ac:dyDescent="0.3">
      <c r="A27" s="145" t="str">
        <f>IF(D2="","Unused",D2)</f>
        <v>OOD</v>
      </c>
      <c r="B27" s="145" t="str">
        <f>IF(D3="","Unused",D3)</f>
        <v>AOOD</v>
      </c>
      <c r="C27" s="145" t="str">
        <f>IF(D4="","Unused",D4)</f>
        <v>Duty Driver</v>
      </c>
      <c r="D27" s="145" t="str">
        <f>IF(D5="","Unused",D5)</f>
        <v>DNCO (FC-370)</v>
      </c>
      <c r="E27" s="145" t="str">
        <f>IF(D6="","Unused",D6)</f>
        <v>ADNCO (FC-370)</v>
      </c>
      <c r="F27" s="145" t="str">
        <f>IF(D7="","Unused",D7)</f>
        <v>Rovers (FC-370)</v>
      </c>
      <c r="G27" s="145" t="str">
        <f>IF(D8="","Unused",D8)</f>
        <v>DNCO (FC-481)</v>
      </c>
      <c r="H27" s="145" t="str">
        <f>IF(D9="","Unused",D9)</f>
        <v>ADNCO (FC-481)</v>
      </c>
      <c r="I27" s="145" t="str">
        <f>IF(D10="","Unused",D10)</f>
        <v>Rovers (FC-481)</v>
      </c>
      <c r="J27" s="153" t="s">
        <v>26</v>
      </c>
      <c r="L27" s="292"/>
      <c r="M27" s="293"/>
      <c r="N27" s="293"/>
      <c r="O27" s="293"/>
      <c r="P27" s="293"/>
      <c r="Q27" s="294"/>
    </row>
    <row r="28" spans="1:17" x14ac:dyDescent="0.25">
      <c r="A28" s="131" t="s">
        <v>11</v>
      </c>
      <c r="B28" s="132" t="s">
        <v>7</v>
      </c>
      <c r="C28" s="132" t="s">
        <v>7</v>
      </c>
      <c r="D28" s="132" t="s">
        <v>9</v>
      </c>
      <c r="E28" s="132" t="s">
        <v>7</v>
      </c>
      <c r="F28" s="132" t="s">
        <v>7</v>
      </c>
      <c r="G28" s="132" t="s">
        <v>9</v>
      </c>
      <c r="H28" s="132" t="s">
        <v>7</v>
      </c>
      <c r="I28" s="133" t="s">
        <v>7</v>
      </c>
      <c r="L28" s="292"/>
      <c r="M28" s="293"/>
      <c r="N28" s="293"/>
      <c r="O28" s="293"/>
      <c r="P28" s="293"/>
      <c r="Q28" s="294"/>
    </row>
    <row r="29" spans="1:17" x14ac:dyDescent="0.25">
      <c r="A29" s="134" t="s">
        <v>12</v>
      </c>
      <c r="B29" s="135" t="s">
        <v>4</v>
      </c>
      <c r="C29" s="135" t="s">
        <v>4</v>
      </c>
      <c r="D29" s="135" t="s">
        <v>10</v>
      </c>
      <c r="E29" s="135" t="s">
        <v>4</v>
      </c>
      <c r="F29" s="135" t="s">
        <v>4</v>
      </c>
      <c r="G29" s="135" t="s">
        <v>10</v>
      </c>
      <c r="H29" s="135" t="s">
        <v>4</v>
      </c>
      <c r="I29" s="136" t="s">
        <v>4</v>
      </c>
      <c r="L29" s="292"/>
      <c r="M29" s="293"/>
      <c r="N29" s="293"/>
      <c r="O29" s="293"/>
      <c r="P29" s="293"/>
      <c r="Q29" s="294"/>
    </row>
    <row r="30" spans="1:17" x14ac:dyDescent="0.25">
      <c r="A30" s="134" t="s">
        <v>16</v>
      </c>
      <c r="B30" s="135" t="s">
        <v>8</v>
      </c>
      <c r="C30" s="135" t="s">
        <v>8</v>
      </c>
      <c r="D30" s="135"/>
      <c r="E30" s="135" t="s">
        <v>8</v>
      </c>
      <c r="F30" s="135" t="s">
        <v>8</v>
      </c>
      <c r="G30" s="135"/>
      <c r="H30" s="135" t="s">
        <v>8</v>
      </c>
      <c r="I30" s="136" t="s">
        <v>8</v>
      </c>
      <c r="L30" s="292"/>
      <c r="M30" s="293"/>
      <c r="N30" s="293"/>
      <c r="O30" s="293"/>
      <c r="P30" s="293"/>
      <c r="Q30" s="294"/>
    </row>
    <row r="31" spans="1:17" x14ac:dyDescent="0.25">
      <c r="A31" s="134" t="s">
        <v>6</v>
      </c>
      <c r="B31" s="135" t="s">
        <v>9</v>
      </c>
      <c r="C31" s="135" t="s">
        <v>9</v>
      </c>
      <c r="D31" s="135"/>
      <c r="E31" s="135" t="s">
        <v>9</v>
      </c>
      <c r="F31" s="135" t="s">
        <v>9</v>
      </c>
      <c r="G31" s="135"/>
      <c r="H31" s="135" t="s">
        <v>9</v>
      </c>
      <c r="I31" s="136" t="s">
        <v>9</v>
      </c>
      <c r="L31" s="292"/>
      <c r="M31" s="293"/>
      <c r="N31" s="293"/>
      <c r="O31" s="293"/>
      <c r="P31" s="293"/>
      <c r="Q31" s="294"/>
    </row>
    <row r="32" spans="1:17" x14ac:dyDescent="0.25">
      <c r="A32" s="134" t="s">
        <v>19</v>
      </c>
      <c r="B32" s="135" t="s">
        <v>10</v>
      </c>
      <c r="C32" s="135" t="s">
        <v>10</v>
      </c>
      <c r="D32" s="135"/>
      <c r="E32" s="135" t="s">
        <v>10</v>
      </c>
      <c r="F32" s="135"/>
      <c r="G32" s="135"/>
      <c r="H32" s="135" t="s">
        <v>10</v>
      </c>
      <c r="I32" s="136"/>
      <c r="L32" s="292"/>
      <c r="M32" s="293"/>
      <c r="N32" s="293"/>
      <c r="O32" s="293"/>
      <c r="P32" s="293"/>
      <c r="Q32" s="294"/>
    </row>
    <row r="33" spans="1:17" x14ac:dyDescent="0.25">
      <c r="A33" s="134" t="s">
        <v>20</v>
      </c>
      <c r="B33" s="135"/>
      <c r="C33" s="135"/>
      <c r="D33" s="135"/>
      <c r="E33" s="135"/>
      <c r="F33" s="135"/>
      <c r="G33" s="135"/>
      <c r="H33" s="135"/>
      <c r="I33" s="136"/>
      <c r="L33" s="292"/>
      <c r="M33" s="293"/>
      <c r="N33" s="293"/>
      <c r="O33" s="293"/>
      <c r="P33" s="293"/>
      <c r="Q33" s="294"/>
    </row>
    <row r="34" spans="1:17" ht="15.75" thickBot="1" x14ac:dyDescent="0.3">
      <c r="A34" s="134"/>
      <c r="B34" s="135"/>
      <c r="C34" s="135"/>
      <c r="D34" s="135"/>
      <c r="E34" s="135"/>
      <c r="F34" s="135"/>
      <c r="G34" s="135"/>
      <c r="H34" s="135"/>
      <c r="I34" s="136"/>
      <c r="L34" s="295"/>
      <c r="M34" s="296"/>
      <c r="N34" s="296"/>
      <c r="O34" s="296"/>
      <c r="P34" s="296"/>
      <c r="Q34" s="297"/>
    </row>
    <row r="35" spans="1:17" x14ac:dyDescent="0.25">
      <c r="A35" s="134"/>
      <c r="B35" s="135"/>
      <c r="C35" s="135"/>
      <c r="D35" s="135"/>
      <c r="E35" s="135"/>
      <c r="F35" s="135"/>
      <c r="G35" s="135"/>
      <c r="H35" s="135"/>
      <c r="I35" s="136"/>
    </row>
    <row r="36" spans="1:17" x14ac:dyDescent="0.25">
      <c r="A36" s="134"/>
      <c r="B36" s="135"/>
      <c r="C36" s="135"/>
      <c r="D36" s="135"/>
      <c r="E36" s="135"/>
      <c r="F36" s="135"/>
      <c r="G36" s="135"/>
      <c r="H36" s="135"/>
      <c r="I36" s="136"/>
    </row>
    <row r="37" spans="1:17" x14ac:dyDescent="0.25">
      <c r="A37" s="134"/>
      <c r="B37" s="135"/>
      <c r="C37" s="135"/>
      <c r="D37" s="135"/>
      <c r="E37" s="135"/>
      <c r="F37" s="135"/>
      <c r="G37" s="135"/>
      <c r="H37" s="135"/>
      <c r="I37" s="136"/>
    </row>
    <row r="38" spans="1:17" x14ac:dyDescent="0.25">
      <c r="A38" s="134"/>
      <c r="B38" s="135"/>
      <c r="C38" s="135"/>
      <c r="D38" s="135"/>
      <c r="E38" s="135"/>
      <c r="F38" s="135"/>
      <c r="G38" s="135"/>
      <c r="H38" s="135"/>
      <c r="I38" s="136"/>
    </row>
    <row r="39" spans="1:17" x14ac:dyDescent="0.25">
      <c r="A39" s="134"/>
      <c r="B39" s="135"/>
      <c r="C39" s="135"/>
      <c r="D39" s="135"/>
      <c r="E39" s="135"/>
      <c r="F39" s="135"/>
      <c r="G39" s="135"/>
      <c r="H39" s="135"/>
      <c r="I39" s="136"/>
    </row>
    <row r="40" spans="1:17" x14ac:dyDescent="0.25">
      <c r="A40" s="134"/>
      <c r="B40" s="135"/>
      <c r="C40" s="135"/>
      <c r="D40" s="135"/>
      <c r="E40" s="135"/>
      <c r="F40" s="135"/>
      <c r="G40" s="135"/>
      <c r="H40" s="135"/>
      <c r="I40" s="136"/>
    </row>
    <row r="41" spans="1:17" x14ac:dyDescent="0.25">
      <c r="A41" s="134"/>
      <c r="B41" s="135"/>
      <c r="C41" s="135"/>
      <c r="D41" s="135"/>
      <c r="E41" s="135"/>
      <c r="F41" s="135"/>
      <c r="G41" s="135"/>
      <c r="H41" s="135"/>
      <c r="I41" s="136"/>
    </row>
    <row r="42" spans="1:17" x14ac:dyDescent="0.25">
      <c r="A42" s="134"/>
      <c r="B42" s="135"/>
      <c r="C42" s="135"/>
      <c r="D42" s="135"/>
      <c r="E42" s="135"/>
      <c r="F42" s="135"/>
      <c r="G42" s="135"/>
      <c r="H42" s="135"/>
      <c r="I42" s="136"/>
    </row>
    <row r="43" spans="1:17" x14ac:dyDescent="0.25">
      <c r="A43" s="134"/>
      <c r="B43" s="135"/>
      <c r="C43" s="135"/>
      <c r="D43" s="135"/>
      <c r="E43" s="135"/>
      <c r="F43" s="135"/>
      <c r="G43" s="135"/>
      <c r="H43" s="135"/>
      <c r="I43" s="136"/>
    </row>
    <row r="44" spans="1:17" x14ac:dyDescent="0.25">
      <c r="A44" s="134"/>
      <c r="B44" s="135"/>
      <c r="C44" s="135"/>
      <c r="D44" s="135"/>
      <c r="E44" s="135"/>
      <c r="F44" s="135"/>
      <c r="G44" s="135"/>
      <c r="H44" s="135"/>
      <c r="I44" s="136"/>
    </row>
    <row r="45" spans="1:17" x14ac:dyDescent="0.25">
      <c r="A45" s="134"/>
      <c r="B45" s="135"/>
      <c r="C45" s="135"/>
      <c r="D45" s="135"/>
      <c r="E45" s="135"/>
      <c r="F45" s="135"/>
      <c r="G45" s="135"/>
      <c r="H45" s="135"/>
      <c r="I45" s="136"/>
    </row>
    <row r="46" spans="1:17" x14ac:dyDescent="0.25">
      <c r="A46" s="134"/>
      <c r="B46" s="135"/>
      <c r="C46" s="135"/>
      <c r="D46" s="135"/>
      <c r="E46" s="135"/>
      <c r="F46" s="135"/>
      <c r="G46" s="135"/>
      <c r="H46" s="135"/>
      <c r="I46" s="136"/>
    </row>
    <row r="47" spans="1:17" x14ac:dyDescent="0.25">
      <c r="A47" s="134"/>
      <c r="B47" s="135"/>
      <c r="C47" s="135"/>
      <c r="D47" s="135"/>
      <c r="E47" s="135"/>
      <c r="F47" s="135"/>
      <c r="G47" s="135"/>
      <c r="H47" s="135"/>
      <c r="I47" s="136"/>
    </row>
    <row r="48" spans="1:17" x14ac:dyDescent="0.25">
      <c r="A48" s="134"/>
      <c r="B48" s="135"/>
      <c r="C48" s="135"/>
      <c r="D48" s="135"/>
      <c r="E48" s="135"/>
      <c r="F48" s="135"/>
      <c r="G48" s="135"/>
      <c r="H48" s="135"/>
      <c r="I48" s="136"/>
    </row>
    <row r="49" spans="1:9" x14ac:dyDescent="0.25">
      <c r="A49" s="134"/>
      <c r="B49" s="135"/>
      <c r="C49" s="135"/>
      <c r="D49" s="135"/>
      <c r="E49" s="135"/>
      <c r="F49" s="135"/>
      <c r="G49" s="135"/>
      <c r="H49" s="135"/>
      <c r="I49" s="136"/>
    </row>
    <row r="50" spans="1:9" x14ac:dyDescent="0.25">
      <c r="A50" s="134"/>
      <c r="B50" s="135"/>
      <c r="C50" s="135"/>
      <c r="D50" s="135"/>
      <c r="E50" s="135"/>
      <c r="F50" s="135"/>
      <c r="G50" s="135"/>
      <c r="H50" s="135"/>
      <c r="I50" s="136"/>
    </row>
    <row r="51" spans="1:9" x14ac:dyDescent="0.25">
      <c r="A51" s="134"/>
      <c r="B51" s="135"/>
      <c r="C51" s="135"/>
      <c r="D51" s="135"/>
      <c r="E51" s="135"/>
      <c r="F51" s="135"/>
      <c r="G51" s="135"/>
      <c r="H51" s="135"/>
      <c r="I51" s="136"/>
    </row>
    <row r="52" spans="1:9" x14ac:dyDescent="0.25">
      <c r="A52" s="134"/>
      <c r="B52" s="135"/>
      <c r="C52" s="135"/>
      <c r="D52" s="135"/>
      <c r="E52" s="135"/>
      <c r="F52" s="135"/>
      <c r="G52" s="135"/>
      <c r="H52" s="135"/>
      <c r="I52" s="136"/>
    </row>
    <row r="53" spans="1:9" ht="15.75" thickBot="1" x14ac:dyDescent="0.3">
      <c r="A53" s="137"/>
      <c r="B53" s="138"/>
      <c r="C53" s="138"/>
      <c r="D53" s="138"/>
      <c r="E53" s="138"/>
      <c r="F53" s="138"/>
      <c r="G53" s="138"/>
      <c r="H53" s="138"/>
      <c r="I53" s="139"/>
    </row>
    <row r="61" spans="1:9" x14ac:dyDescent="0.25">
      <c r="F61" s="186"/>
    </row>
    <row r="62" spans="1:9" x14ac:dyDescent="0.25">
      <c r="F62" s="186"/>
    </row>
    <row r="63" spans="1:9" x14ac:dyDescent="0.25">
      <c r="F63" s="186"/>
    </row>
    <row r="64" spans="1:9" x14ac:dyDescent="0.25">
      <c r="F64" s="186"/>
    </row>
    <row r="65" spans="6:6" x14ac:dyDescent="0.25">
      <c r="F65" s="186"/>
    </row>
    <row r="66" spans="6:6" x14ac:dyDescent="0.25">
      <c r="F66" s="186"/>
    </row>
    <row r="67" spans="6:6" x14ac:dyDescent="0.25">
      <c r="F67" s="186"/>
    </row>
    <row r="68" spans="6:6" x14ac:dyDescent="0.25">
      <c r="F68" s="186"/>
    </row>
  </sheetData>
  <sheetProtection algorithmName="SHA-512" hashValue="1SUmSmc3D/wLV/xzKeF8cj2F8mNa2ewerWSSRBzHyPJaSnZCsIkCXzzEbnXSiVwkKeMfQa5tOSVWnQu5tvUe5Q==" saltValue="nowZIYpMJBxTL1ey02GIGQ==" spinCount="100000" sheet="1" objects="1" scenarios="1" selectLockedCells="1" sort="0" autoFilter="0"/>
  <mergeCells count="11">
    <mergeCell ref="L1:Q1"/>
    <mergeCell ref="L2:Q4"/>
    <mergeCell ref="L6:Q6"/>
    <mergeCell ref="L7:Q34"/>
    <mergeCell ref="F1:H1"/>
    <mergeCell ref="G5:H5"/>
    <mergeCell ref="G4:H4"/>
    <mergeCell ref="G3:H3"/>
    <mergeCell ref="G2:H2"/>
    <mergeCell ref="A14:H14"/>
    <mergeCell ref="A26:I26"/>
  </mergeCells>
  <conditionalFormatting sqref="B16:H24">
    <cfRule type="containsText" dxfId="1" priority="1" operator="containsText" text="FALSE">
      <formula>NOT(ISERROR(SEARCH("FALSE",B16)))</formula>
    </cfRule>
    <cfRule type="containsText" dxfId="0" priority="2" operator="containsText" text="TRUE">
      <formula>NOT(ISERROR(SEARCH("TRUE",B16)))</formula>
    </cfRule>
  </conditionalFormatting>
  <dataValidations count="3">
    <dataValidation type="list" allowBlank="1" showInputMessage="1" showErrorMessage="1" errorTitle="Input Error" error="Invalid Input. Please use the drop down options." sqref="B16:H24">
      <formula1>"TRUE, FALSE"</formula1>
    </dataValidation>
    <dataValidation type="list" allowBlank="1" showInputMessage="1" showErrorMessage="1" errorTitle="Input Error" error="Invalid Input. Please use the drop down options." sqref="A28:I53">
      <formula1>$J$2:$J$27</formula1>
    </dataValidation>
    <dataValidation allowBlank="1" showInputMessage="1" showErrorMessage="1" prompt="If a Duty position requires multiple personnel, count each person required._x000a__x000a_EXAMPLE:_x000a_Four people are needed to fill a Rover spot per day, so that one Rover position is counted four time" sqref="E2:E1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_CNADDLists">
                <anchor moveWithCells="1" sizeWithCells="1">
                  <from>
                    <xdr:col>0</xdr:col>
                    <xdr:colOff>152400</xdr:colOff>
                    <xdr:row>8</xdr:row>
                    <xdr:rowOff>57150</xdr:rowOff>
                  </from>
                  <to>
                    <xdr:col>1</xdr:col>
                    <xdr:colOff>876300</xdr:colOff>
                    <xdr:row>12</xdr:row>
                    <xdr:rowOff>133350</xdr:rowOff>
                  </to>
                </anchor>
              </controlPr>
            </control>
          </mc:Choice>
        </mc:AlternateContent>
        <mc:AlternateContent xmlns:mc="http://schemas.openxmlformats.org/markup-compatibility/2006">
          <mc:Choice Requires="x14">
            <control shapeId="8194" r:id="rId5" name="Button 2">
              <controlPr defaultSize="0" print="0" autoFill="0" autoPict="0" macro="[0]!Change_Password">
                <anchor moveWithCells="1" sizeWithCells="1">
                  <from>
                    <xdr:col>5</xdr:col>
                    <xdr:colOff>619125</xdr:colOff>
                    <xdr:row>6</xdr:row>
                    <xdr:rowOff>0</xdr:rowOff>
                  </from>
                  <to>
                    <xdr:col>6</xdr:col>
                    <xdr:colOff>409575</xdr:colOff>
                    <xdr:row>8</xdr:row>
                    <xdr:rowOff>0</xdr:rowOff>
                  </to>
                </anchor>
              </controlPr>
            </control>
          </mc:Choice>
        </mc:AlternateContent>
        <mc:AlternateContent xmlns:mc="http://schemas.openxmlformats.org/markup-compatibility/2006">
          <mc:Choice Requires="x14">
            <control shapeId="8195" r:id="rId6" name="ExtDevMd">
              <controlPr defaultSize="0" print="0" autoFill="0" autoPict="0" macro="[0]!Toggle_DevMode">
                <anchor moveWithCells="1" sizeWithCells="1">
                  <from>
                    <xdr:col>11</xdr:col>
                    <xdr:colOff>19050</xdr:colOff>
                    <xdr:row>0</xdr:row>
                    <xdr:rowOff>19050</xdr:rowOff>
                  </from>
                  <to>
                    <xdr:col>12</xdr:col>
                    <xdr:colOff>247650</xdr:colOff>
                    <xdr:row>0</xdr:row>
                    <xdr:rowOff>371475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12</vt:i4>
      </vt:variant>
    </vt:vector>
  </HeadingPairs>
  <TitlesOfParts>
    <vt:vector size="13" baseType="lpstr">
      <vt:lpstr>Welcome</vt:lpstr>
      <vt:lpstr>DP_ResCount</vt:lpstr>
      <vt:lpstr>End</vt:lpstr>
      <vt:lpstr>RankList_DP1</vt:lpstr>
      <vt:lpstr>RankList_DP2</vt:lpstr>
      <vt:lpstr>RankList_DP3</vt:lpstr>
      <vt:lpstr>RankList_DP4</vt:lpstr>
      <vt:lpstr>RankList_DP5</vt:lpstr>
      <vt:lpstr>RankList_DP6</vt:lpstr>
      <vt:lpstr>RankList_DP7</vt:lpstr>
      <vt:lpstr>RankList_DP8</vt:lpstr>
      <vt:lpstr>RankList_DP9</vt:lpstr>
      <vt:lpstr>Start</vt:lpstr>
    </vt:vector>
  </TitlesOfParts>
  <Company>The United States Marine Corps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Jeffreys Sgt Duncan A</dc:creator>
  <cp:lastModifiedBy>Jeffreys, Duncan</cp:lastModifiedBy>
  <dcterms:created xsi:type="dcterms:W3CDTF">2019-12-05T20:42:31Z</dcterms:created>
  <dcterms:modified xsi:type="dcterms:W3CDTF">2021-03-25T20:19:13Z</dcterms:modified>
</cp:coreProperties>
</file>